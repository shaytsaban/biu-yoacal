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קרא_אותי" sheetId="1" state="visible" r:id="rId1"/>
    <sheet xmlns:r="http://schemas.openxmlformats.org/officeDocument/2006/relationships" name="01_גולמי_בנק" sheetId="2" state="visible" r:id="rId2"/>
    <sheet xmlns:r="http://schemas.openxmlformats.org/officeDocument/2006/relationships" name="02_גולמי_הנהח" sheetId="3" state="visible" r:id="rId3"/>
    <sheet xmlns:r="http://schemas.openxmlformats.org/officeDocument/2006/relationships" name="03_מפתח_מיפוי" sheetId="4" state="visible" r:id="rId4"/>
    <sheet xmlns:r="http://schemas.openxmlformats.org/officeDocument/2006/relationships" name="04_ETL" sheetId="5" state="visible" r:id="rId5"/>
    <sheet xmlns:r="http://schemas.openxmlformats.org/officeDocument/2006/relationships" name="05_תקציב" sheetId="6" state="visible" r:id="rId6"/>
    <sheet xmlns:r="http://schemas.openxmlformats.org/officeDocument/2006/relationships" name="10_בקרה_תקציבית" sheetId="7" state="visible" r:id="rId7"/>
    <sheet xmlns:r="http://schemas.openxmlformats.org/officeDocument/2006/relationships" name="11_פער_מחיר_כמות" sheetId="8" state="visible" r:id="rId8"/>
    <sheet xmlns:r="http://schemas.openxmlformats.org/officeDocument/2006/relationships" name="20_הון_חוזר" sheetId="9" state="visible" r:id="rId9"/>
    <sheet xmlns:r="http://schemas.openxmlformats.org/officeDocument/2006/relationships" name="30_תזרים_13" sheetId="10" state="visible" r:id="rId10"/>
    <sheet xmlns:r="http://schemas.openxmlformats.org/officeDocument/2006/relationships" name="40_רולינג" sheetId="11" state="visible" r:id="rId11"/>
    <sheet xmlns:r="http://schemas.openxmlformats.org/officeDocument/2006/relationships" name="50_כלי_אשראי_לקוח" sheetId="12" state="visible" r:id="rId12"/>
    <sheet xmlns:r="http://schemas.openxmlformats.org/officeDocument/2006/relationships" name="60_תבנית_ריקה_תזרים" sheetId="13" state="visible" r:id="rId13"/>
    <sheet xmlns:r="http://schemas.openxmlformats.org/officeDocument/2006/relationships" name="99_פתרון" sheetId="14" state="visible" r:id="rId14"/>
  </sheets>
  <definedNames/>
  <calcPr calcId="124519" fullCalcOnLoad="1"/>
</workbook>
</file>

<file path=xl/styles.xml><?xml version="1.0" encoding="utf-8"?>
<styleSheet xmlns="http://schemas.openxmlformats.org/spreadsheetml/2006/main">
  <numFmts count="5">
    <numFmt numFmtId="164" formatCode="yyyy-mm-dd"/>
    <numFmt numFmtId="165" formatCode="dd/mm/yyyy"/>
    <numFmt numFmtId="166" formatCode="#,##0 &quot;₪&quot;"/>
    <numFmt numFmtId="167" formatCode="0.0%"/>
    <numFmt numFmtId="168" formatCode="#,##0.0"/>
  </numFmts>
  <fonts count="8">
    <font>
      <name val="Calibri"/>
      <family val="2"/>
      <color theme="1"/>
      <sz val="11"/>
      <scheme val="minor"/>
    </font>
    <font>
      <name val="Arial"/>
      <b val="1"/>
      <color rgb="00FFFFFF"/>
      <sz val="16"/>
    </font>
    <font>
      <name val="Arial"/>
      <i val="1"/>
      <color rgb="00666666"/>
      <sz val="9"/>
    </font>
    <font>
      <name val="Arial"/>
      <b val="1"/>
      <color rgb="000B2A3E"/>
      <sz val="11"/>
    </font>
    <font>
      <name val="Arial"/>
      <sz val="10"/>
    </font>
    <font>
      <name val="Arial"/>
      <b val="1"/>
      <color rgb="00FFFFFF"/>
      <sz val="11"/>
    </font>
    <font>
      <name val="Arial"/>
      <b val="1"/>
      <color rgb="000B2A3E"/>
      <sz val="14"/>
    </font>
    <font>
      <name val="Consolas"/>
      <sz val="9"/>
    </font>
  </fonts>
  <fills count="9">
    <fill>
      <patternFill/>
    </fill>
    <fill>
      <patternFill patternType="gray125"/>
    </fill>
    <fill>
      <patternFill patternType="solid">
        <fgColor rgb="000B2A3E"/>
      </patternFill>
    </fill>
    <fill>
      <patternFill patternType="solid">
        <fgColor rgb="00FFF2A8"/>
      </patternFill>
    </fill>
    <fill>
      <patternFill patternType="solid">
        <fgColor rgb="00F2F4F7"/>
      </patternFill>
    </fill>
    <fill>
      <patternFill patternType="solid">
        <fgColor rgb="00FFFFFF"/>
      </patternFill>
    </fill>
    <fill>
      <patternFill patternType="solid">
        <fgColor rgb="000097A7"/>
      </patternFill>
    </fill>
    <fill>
      <patternFill patternType="solid">
        <fgColor rgb="00FFF9E0"/>
      </patternFill>
    </fill>
    <fill>
      <patternFill patternType="solid">
        <fgColor rgb="00B8860B"/>
      </patternFill>
    </fill>
  </fills>
  <borders count="2">
    <border>
      <left/>
      <right/>
      <top/>
      <bottom/>
      <diagonal/>
    </border>
    <border>
      <left style="thin">
        <color rgb="00BFC7D1"/>
      </left>
      <right style="thin">
        <color rgb="00BFC7D1"/>
      </right>
      <top style="thin">
        <color rgb="00BFC7D1"/>
      </top>
      <bottom style="thin">
        <color rgb="00BFC7D1"/>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0" borderId="0" pivotButton="0" quotePrefix="0" xfId="0"/>
    <xf numFmtId="0" fontId="4" fillId="0" borderId="0" applyAlignment="1" pivotButton="0" quotePrefix="0" xfId="0">
      <alignment vertical="top" wrapText="1"/>
    </xf>
    <xf numFmtId="0" fontId="4" fillId="3" borderId="1" pivotButton="0" quotePrefix="0" xfId="0"/>
    <xf numFmtId="0" fontId="4" fillId="4" borderId="1" pivotButton="0" quotePrefix="0" xfId="0"/>
    <xf numFmtId="0" fontId="4" fillId="5" borderId="1" pivotButton="0" quotePrefix="0" xfId="0"/>
    <xf numFmtId="0" fontId="5" fillId="6" borderId="1" applyAlignment="1" pivotButton="0" quotePrefix="0" xfId="0">
      <alignment horizontal="center" vertical="center" wrapText="1"/>
    </xf>
    <xf numFmtId="0" fontId="4" fillId="0" borderId="1" applyAlignment="1" pivotButton="0" quotePrefix="0" xfId="0">
      <alignment horizontal="right"/>
    </xf>
    <xf numFmtId="165" fontId="4" fillId="0" borderId="1" pivotButton="0" quotePrefix="0" xfId="0"/>
    <xf numFmtId="0" fontId="4" fillId="0" borderId="1" pivotButton="0" quotePrefix="0" xfId="0"/>
    <xf numFmtId="166" fontId="4" fillId="0" borderId="1" pivotButton="0" quotePrefix="0" xfId="0"/>
    <xf numFmtId="0" fontId="2" fillId="0" borderId="1" applyAlignment="1" pivotButton="0" quotePrefix="0" xfId="0">
      <alignment wrapText="1"/>
    </xf>
    <xf numFmtId="0" fontId="2" fillId="0" borderId="0" pivotButton="0" quotePrefix="0" xfId="0"/>
    <xf numFmtId="165" fontId="0" fillId="3" borderId="1" pivotButton="0" quotePrefix="0" xfId="0"/>
    <xf numFmtId="166" fontId="0" fillId="3" borderId="1" pivotButton="0" quotePrefix="0" xfId="0"/>
    <xf numFmtId="0" fontId="0" fillId="3" borderId="1" pivotButton="0" quotePrefix="0" xfId="0"/>
    <xf numFmtId="0" fontId="6" fillId="0" borderId="0" pivotButton="0" quotePrefix="0" xfId="0"/>
    <xf numFmtId="3" fontId="0" fillId="3" borderId="1" pivotButton="0" quotePrefix="0" xfId="0"/>
    <xf numFmtId="0" fontId="3" fillId="7" borderId="1" pivotButton="0" quotePrefix="0" xfId="0"/>
    <xf numFmtId="167" fontId="0" fillId="3" borderId="1" pivotButton="0" quotePrefix="0" xfId="0"/>
    <xf numFmtId="3" fontId="4" fillId="4" borderId="1" pivotButton="0" quotePrefix="0" xfId="0"/>
    <xf numFmtId="166" fontId="4" fillId="4" borderId="1" pivotButton="0" quotePrefix="0" xfId="0"/>
    <xf numFmtId="3" fontId="5" fillId="8" borderId="1" pivotButton="0" quotePrefix="0" xfId="0"/>
    <xf numFmtId="166" fontId="5" fillId="8" borderId="1" pivotButton="0" quotePrefix="0" xfId="0"/>
    <xf numFmtId="168" fontId="0" fillId="3" borderId="1" pivotButton="0" quotePrefix="0" xfId="0"/>
    <xf numFmtId="168" fontId="0" fillId="7" borderId="1" pivotButton="0" quotePrefix="0" xfId="0"/>
    <xf numFmtId="166" fontId="0" fillId="7" borderId="1" pivotButton="0" quotePrefix="0" xfId="0"/>
    <xf numFmtId="0" fontId="4" fillId="7" borderId="1" applyAlignment="1" pivotButton="0" quotePrefix="0" xfId="0">
      <alignment horizontal="center"/>
    </xf>
    <xf numFmtId="0" fontId="3" fillId="8" borderId="1" pivotButton="0" quotePrefix="0" xfId="0"/>
    <xf numFmtId="0" fontId="6" fillId="7" borderId="1" pivotButton="0" quotePrefix="0" xfId="0"/>
    <xf numFmtId="2" fontId="0" fillId="7" borderId="1" pivotButton="0" quotePrefix="0" xfId="0"/>
    <xf numFmtId="0" fontId="3" fillId="4" borderId="1" pivotButton="0" quotePrefix="0" xfId="0"/>
    <xf numFmtId="3" fontId="0" fillId="7" borderId="1" pivotButton="0" quotePrefix="0" xfId="0"/>
    <xf numFmtId="167" fontId="0" fillId="7" borderId="1" pivotButton="0" quotePrefix="0" xfId="0"/>
    <xf numFmtId="166" fontId="0" fillId="4" borderId="1" pivotButton="0" quotePrefix="0" xfId="0"/>
    <xf numFmtId="167" fontId="0" fillId="4" borderId="1" pivotButton="0" quotePrefix="0" xfId="0"/>
    <xf numFmtId="0" fontId="0" fillId="7" borderId="1" pivotButton="0" quotePrefix="0" xfId="0"/>
    <xf numFmtId="166" fontId="0" fillId="0" borderId="1" pivotButton="0" quotePrefix="0" xfId="0"/>
    <xf numFmtId="0" fontId="0" fillId="0" borderId="1" pivotButton="0" quotePrefix="0" xfId="0"/>
    <xf numFmtId="0" fontId="4" fillId="0" borderId="1" applyAlignment="1" pivotButton="0" quotePrefix="0" xfId="0">
      <alignment horizontal="right" vertical="top" wrapText="1"/>
    </xf>
    <xf numFmtId="0" fontId="7" fillId="0" borderId="1" applyAlignment="1" pivotButton="0" quotePrefix="0" xfId="0">
      <alignment horizontal="left" vertical="top" wrapText="1"/>
    </xf>
  </cellXfs>
  <cellStyles count="1">
    <cellStyle name="Normal" xfId="0" builtinId="0" hidden="0"/>
  </cellStyles>
  <dxfs count="2">
    <dxf>
      <fill>
        <patternFill patternType="solid">
          <fgColor rgb="00FFC7CE"/>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בנק" displayName="בנק" ref="A4:D105" headerRowCount="1">
  <autoFilter ref="A4:D105"/>
  <tableColumns count="4">
    <tableColumn id="1" name="תאריך_גולמי"/>
    <tableColumn id="2" name="תיאור_גולמי"/>
    <tableColumn id="3" name="סכום_גולמי"/>
    <tableColumn id="4" name="אסמכתא"/>
  </tableColumns>
  <tableStyleInfo name="TableStyleLight16" showRowStripes="1"/>
</table>
</file>

<file path=xl/tables/table2.xml><?xml version="1.0" encoding="utf-8"?>
<table xmlns="http://schemas.openxmlformats.org/spreadsheetml/2006/main" id="2" name="הנהח" displayName="הנהח" ref="A4:G472" headerRowCount="1">
  <autoFilter ref="A4:G472"/>
  <tableColumns count="7">
    <tableColumn id="1" name="תאריך"/>
    <tableColumn id="2" name="מספר_תנועה"/>
    <tableColumn id="3" name="חודש"/>
    <tableColumn id="4" name="מחלקה"/>
    <tableColumn id="5" name="קבוצה"/>
    <tableColumn id="6" name="סעיף"/>
    <tableColumn id="7" name="סכום"/>
  </tableColumns>
  <tableStyleInfo name="TableStyleLight9" showRowStripes="1"/>
</table>
</file>

<file path=xl/tables/table3.xml><?xml version="1.0" encoding="utf-8"?>
<table xmlns="http://schemas.openxmlformats.org/spreadsheetml/2006/main" id="3" name="מפתח" displayName="מפתח" ref="A4:D39" headerRowCount="1">
  <autoFilter ref="A4:D39"/>
  <tableColumns count="4">
    <tableColumn id="1" name="מילת_מפתח"/>
    <tableColumn id="2" name="סעיף"/>
    <tableColumn id="3" name="קבוצה"/>
    <tableColumn id="4" name="הערה"/>
  </tableColumns>
  <tableStyleInfo name="TableStyleLight11" showRowStripes="1"/>
</table>
</file>

<file path=xl/tables/table4.xml><?xml version="1.0" encoding="utf-8"?>
<table xmlns="http://schemas.openxmlformats.org/spreadsheetml/2006/main" id="4" name="תקציב" displayName="תקציב" ref="A4:F472" headerRowCount="1">
  <autoFilter ref="A4:F472"/>
  <tableColumns count="6">
    <tableColumn id="1" name="חודש"/>
    <tableColumn id="2" name="חודש_מספר"/>
    <tableColumn id="3" name="מחלקה"/>
    <tableColumn id="4" name="קבוצה"/>
    <tableColumn id="5" name="סעיף"/>
    <tableColumn id="6" name="תקציב"/>
  </tableColumns>
  <tableStyleInfo name="TableStyleLight14"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C45"/>
  <sheetViews>
    <sheetView rightToLeft="1" workbookViewId="0">
      <selection activeCell="A1" sqref="A1"/>
    </sheetView>
  </sheetViews>
  <sheetFormatPr baseColWidth="8" defaultRowHeight="15"/>
  <cols>
    <col width="3" customWidth="1" min="1" max="1"/>
    <col width="26" customWidth="1" min="2" max="2"/>
    <col width="96" customWidth="1" min="3" max="3"/>
  </cols>
  <sheetData>
    <row r="1" ht="34" customHeight="1">
      <c r="A1" s="1" t="inlineStr">
        <is>
          <t>מודול ג׳ · בקרה תקציבית, תזרים וניתוח דאטה — חוברת עבודה</t>
        </is>
      </c>
    </row>
    <row r="2" ht="20" customHeight="1">
      <c r="A2" s="2" t="inlineStr">
        <is>
          <t>ד״ר שי צבאן · יום עיון: הפרקטיקה הפיננסית והמיסויית ב-SME · כל הגיליונות עובדים באקסל למק ובאקסל לווינדוס</t>
        </is>
      </c>
    </row>
    <row r="4" ht="16" customHeight="1">
      <c r="B4" s="3" t="inlineStr"/>
      <c r="C4" s="4" t="inlineStr"/>
    </row>
    <row r="5" ht="30" customHeight="1">
      <c r="B5" s="3" t="inlineStr">
        <is>
          <t>החברה שבתרגיל</t>
        </is>
      </c>
      <c r="C5" s="4" t="inlineStr">
        <is>
          <t>טכנופיד בע״מ — יבואן ומפיץ ציוד היקפי למשרדים. מחזור שנתי כ-13.5 מיליון ש״ח, 9 עובדים, בעל שליטה יחיד (100%).</t>
        </is>
      </c>
    </row>
    <row r="6" ht="30" customHeight="1">
      <c r="B6" s="3" t="inlineStr"/>
      <c r="C6" s="4" t="inlineStr">
        <is>
          <t>לחברה מלאי (ולכן מחזור מזומן אמיתי), רכב חברה, יתרת בעלים פתוחה, ושלוש מחלקות: מכירות ישירות, ערוץ מפיצים, שירות ותמיכה.</t>
        </is>
      </c>
    </row>
    <row r="7" ht="30" customHeight="1">
      <c r="B7" s="3" t="inlineStr"/>
      <c r="C7" s="4" t="inlineStr">
        <is>
          <t>כל הנתונים בחוברת הם נתונים מלאכותיים שנבנו לצורך התרגול בלבד. אין בהם ייעוץ מס או ייעוץ פיננסי.</t>
        </is>
      </c>
    </row>
    <row r="8" ht="16" customHeight="1">
      <c r="B8" s="3" t="inlineStr"/>
      <c r="C8" s="4" t="inlineStr"/>
    </row>
    <row r="9" ht="30" customHeight="1">
      <c r="B9" s="3" t="inlineStr">
        <is>
          <t>איך קוראים את הצבעים</t>
        </is>
      </c>
      <c r="C9" s="4" t="inlineStr">
        <is>
          <t>תא צהוב = כאן אתם מקלידים את הנוסחה. תא אפור = נתון קיים, לא נוגעים. תא לבן = תוצאה שמתמלאת לבד.</t>
        </is>
      </c>
    </row>
    <row r="10" ht="16" customHeight="1">
      <c r="B10" s="3" t="inlineStr"/>
      <c r="C10" s="4" t="inlineStr"/>
    </row>
    <row r="11" ht="30" customHeight="1">
      <c r="B11" s="3" t="inlineStr">
        <is>
          <t>סדר העבודה</t>
        </is>
      </c>
      <c r="C11" s="4" t="inlineStr">
        <is>
          <t>01 → 02 → 03 → 04 (ניקוי דאטה) ואז הכלים: 10, 11, 20, 30, 40. הגיליון 99 הוא מפתח הפתרונות המלא.</t>
        </is>
      </c>
    </row>
    <row r="12" ht="16" customHeight="1">
      <c r="B12" s="3" t="inlineStr"/>
      <c r="C12" s="4" t="inlineStr"/>
    </row>
    <row r="13" ht="30" customHeight="1">
      <c r="B13" s="3" t="inlineStr">
        <is>
          <t>דרישת גרסה</t>
        </is>
      </c>
      <c r="C13" s="4" t="inlineStr">
        <is>
          <t>אקסל במנוי Microsoft 365 (מק או ווינדוס). החוברת משתמשת ב-XLOOKUP, LET, FILTER, TEXTSPLIT, SEQUENCE.</t>
        </is>
      </c>
    </row>
    <row r="14" ht="30" customHeight="1">
      <c r="B14" s="3" t="inlineStr"/>
      <c r="C14" s="4" t="inlineStr">
        <is>
          <t>אין בחוברת Power Query, אין Power Pivot, אין מודל נתונים ואין מאקרו — בכוונה. כל דבר כאן ניתן לשחזור בכל מחשב בכיתה.</t>
        </is>
      </c>
    </row>
    <row r="15" ht="30" customHeight="1">
      <c r="B15" s="3" t="inlineStr"/>
      <c r="C15" s="4" t="inlineStr">
        <is>
          <t>בדיקת גרסה מהירה: הקלידו בתא ריק =LET(x,1,x) — אם מתקבל 1, הכול יעבוד. אם מתקבל #NAME? אתם על אקסל 2019 או ישן יותר.</t>
        </is>
      </c>
    </row>
    <row r="16" ht="30" customHeight="1">
      <c r="B16" s="3" t="inlineStr"/>
      <c r="C16" s="4" t="inlineStr">
        <is>
          <t>מי שקיבל #NAME?: הנוסחאות בגיליונות 04 ו-04 בלבד משתמשות ב-LET ולא יעבדו אצלכם. כל שאר הכלים בחוברת יעבדו במלואם.</t>
        </is>
      </c>
    </row>
    <row r="17" ht="30" customHeight="1">
      <c r="B17" s="3" t="inlineStr"/>
      <c r="C17" s="4" t="inlineStr">
        <is>
          <t>האילוץ שהחוברת נבנתה סביבו: כל נוסחה כאן מתנהגת זהה באקסל למק ובאקסל לווינדוס. לכן אין כאן Power Query, אין מודל נתונים, אין מאקרו, ואין CHAR (שמחזירה תו שונה בין המערכות).</t>
        </is>
      </c>
    </row>
    <row r="18" ht="16" customHeight="1">
      <c r="B18" s="3" t="inlineStr"/>
      <c r="C18" s="4" t="inlineStr"/>
    </row>
    <row r="19" ht="30" customHeight="1">
      <c r="B19" s="3" t="inlineStr">
        <is>
          <t>למה זה חשוב בפרקטיקה</t>
        </is>
      </c>
      <c r="C19" s="4" t="inlineStr">
        <is>
          <t>לקוח SME לא נופל בגלל דוח שנתי שגוי. הוא נופל בגלל שלא ידע שבעוד שישה שבועות אין לו מזומן למע״מ ולשכר באותו שבוע.</t>
        </is>
      </c>
    </row>
    <row r="20" ht="30" customHeight="1">
      <c r="B20" s="3" t="inlineStr"/>
      <c r="C20" s="4" t="inlineStr">
        <is>
          <t>ארבעת הכלים כאן הופכים את המשרד ממי שמדווח על העבר למי שמתריע על העתיד. זה בדיוק המעבר מרמת שירות 1 לרמת שירות 3.</t>
        </is>
      </c>
    </row>
    <row r="21" ht="16" customHeight="1">
      <c r="B21" s="3" t="inlineStr"/>
      <c r="C21" s="4" t="inlineStr"/>
    </row>
    <row r="22" ht="30" customHeight="1">
      <c r="B22" s="3" t="inlineStr">
        <is>
          <t>ארגז הכלים</t>
        </is>
      </c>
      <c r="C22" s="4" t="inlineStr">
        <is>
          <t>החוברת היא ארגז כלים, לא מצגת. חלק מהכלים נבנה יחד בכיתה, וחלק מגיע מוכן ומחכה לכם ליום שבו תצטרכו אותו.</t>
        </is>
      </c>
    </row>
    <row r="23" ht="16" customHeight="1">
      <c r="B23" s="3" t="inlineStr"/>
      <c r="C23" s="4" t="inlineStr">
        <is>
          <t>מה שנבנה בכיתה: גיליונות 04, 10, 11, 20, 30, 40. אלה שש המעבדות.</t>
        </is>
      </c>
    </row>
    <row r="24" ht="30" customHeight="1">
      <c r="B24" s="3" t="inlineStr"/>
      <c r="C24" s="4" t="inlineStr">
        <is>
          <t>מה שמגיע מוכן לשימוש עתידי: גיליון 50 (כמה עולה לתת ללקוח תנאי תשלום ארוכים) וגיליון 60 (תבנית תזרים ריקה ללקוח אמיתי).</t>
        </is>
      </c>
    </row>
    <row r="25" ht="30" customHeight="1">
      <c r="B25" s="3" t="inlineStr"/>
      <c r="C25" s="4" t="inlineStr">
        <is>
          <t>לא חייבים לגעת בהם היום. הם שם כדי שביום שלקוח ישאל ״כמה זה עולה לי לתת לו שוטף פלוס 90״, תהיה לכם תשובה תוך שתי דקות.</t>
        </is>
      </c>
    </row>
    <row r="26" ht="16" customHeight="1">
      <c r="B26" s="3" t="inlineStr"/>
      <c r="C26" s="4" t="inlineStr"/>
    </row>
    <row r="27" ht="16" customHeight="1">
      <c r="B27" s="3" t="inlineStr">
        <is>
          <t>הגיליונות</t>
        </is>
      </c>
      <c r="C27" s="4" t="inlineStr"/>
    </row>
    <row r="28" ht="16" customHeight="1">
      <c r="B28" s="3" t="inlineStr">
        <is>
          <t>01_גולמי_בנק</t>
        </is>
      </c>
      <c r="C28" s="4" t="inlineStr">
        <is>
          <t>פלט בנק גולמי ומלוכלך, בדיוק כמו שהוא יורד מהאתר. חומר הגלם למעבדת ה-ETL.</t>
        </is>
      </c>
    </row>
    <row r="29" ht="16" customHeight="1">
      <c r="B29" s="3" t="inlineStr">
        <is>
          <t>02_גולמי_הנהח</t>
        </is>
      </c>
      <c r="C29" s="4" t="inlineStr">
        <is>
          <t>תנועות הנהלת חשבונות לשנת 2026 — ביצוע בפועל לפי חודש, מחלקה וסעיף.</t>
        </is>
      </c>
    </row>
    <row r="30" ht="16" customHeight="1">
      <c r="B30" s="3" t="inlineStr">
        <is>
          <t>03_מפתח_מיפוי</t>
        </is>
      </c>
      <c r="C30" s="4" t="inlineStr">
        <is>
          <t>טבלת התרגום: מילת מפתח בתיאור הבנק ← סעיף תקציבי. הלב של כל תהליך ETL.</t>
        </is>
      </c>
    </row>
    <row r="31" ht="16" customHeight="1">
      <c r="B31" s="3" t="inlineStr">
        <is>
          <t>04_ETL</t>
        </is>
      </c>
      <c r="C31" s="4" t="inlineStr">
        <is>
          <t>מעבדה 1: ניקוי הפלט הגולמי בנוסחאות בלבד — תאריך, סכום, תיאור, סיווג, זיהוי כפילויות.</t>
        </is>
      </c>
    </row>
    <row r="32" ht="16" customHeight="1">
      <c r="B32" s="3" t="inlineStr">
        <is>
          <t>05_תקציב</t>
        </is>
      </c>
      <c r="C32" s="4" t="inlineStr">
        <is>
          <t>התקציב המאושר לשנת 2026 לפי חודש וסעיף.</t>
        </is>
      </c>
    </row>
    <row r="33" ht="16" customHeight="1">
      <c r="B33" s="3" t="inlineStr">
        <is>
          <t>10_בקרה_תקציבית</t>
        </is>
      </c>
      <c r="C33" s="4" t="inlineStr">
        <is>
          <t>מעבדה 2: לוח בקרת ביצוע מול תקציב עם סטיות באחוזים והתראה על חריגה מעל 10%.</t>
        </is>
      </c>
    </row>
    <row r="34" ht="16" customHeight="1">
      <c r="B34" s="3" t="inlineStr">
        <is>
          <t>11_פער_מחיר_כמות</t>
        </is>
      </c>
      <c r="C34" s="4" t="inlineStr">
        <is>
          <t>מעבדה 2ב: פירוק הסטייה בהכנסות לשלושה גורמים — מחיר, כמות ותמהיל.</t>
        </is>
      </c>
    </row>
    <row r="35" ht="16" customHeight="1">
      <c r="B35" s="3" t="inlineStr">
        <is>
          <t>20_הון_חוזר</t>
        </is>
      </c>
      <c r="C35" s="4" t="inlineStr">
        <is>
          <t>מעבדה 3: DSO, DPO, DIO ומחזור המזומן (CCC), כולל שווי כספי של כל יום גבייה.</t>
        </is>
      </c>
    </row>
    <row r="36" ht="16" customHeight="1">
      <c r="B36" s="3" t="inlineStr">
        <is>
          <t>30_תזרים_13</t>
        </is>
      </c>
      <c r="C36" s="4" t="inlineStr">
        <is>
          <t>מעבדה 4: תזרים מזומנים ל-13 שבועות עם עמוד שדרה של תשלומי מס ודירוג ודאות.</t>
        </is>
      </c>
    </row>
    <row r="37" ht="16" customHeight="1">
      <c r="B37" s="3" t="inlineStr">
        <is>
          <t>40_רולינג</t>
        </is>
      </c>
      <c r="C37" s="4" t="inlineStr">
        <is>
          <t>מעבדה 5: תחזית מתגלגלת 3+9 / 4+8 מול קו בסיס נעול.</t>
        </is>
      </c>
    </row>
    <row r="38" ht="30" customHeight="1">
      <c r="B38" s="3" t="inlineStr">
        <is>
          <t>50_כלי_אשראי_לקוח</t>
        </is>
      </c>
      <c r="C38" s="4" t="inlineStr">
        <is>
          <t>ארגז הכלים · מוכן לשימוש. מתרגם בקשה של לקוח לתנאי תשלום ארוכים לשקלים, ומחשב איזו הנחה שווה לתת תמורת תשלום מיידי.</t>
        </is>
      </c>
    </row>
    <row r="39" ht="16" customHeight="1">
      <c r="B39" s="3" t="inlineStr">
        <is>
          <t>60_תבנית_ריקה_תזרים</t>
        </is>
      </c>
      <c r="C39" s="4" t="inlineStr">
        <is>
          <t>ארגז הכלים · מוכן לשימוש. אותו מנוע של מעבדה 5 בלי נתונים, מוכן להזנת לקוח אמיתי.</t>
        </is>
      </c>
    </row>
    <row r="40" ht="16" customHeight="1">
      <c r="B40" s="3" t="inlineStr">
        <is>
          <t>99_פתרון</t>
        </is>
      </c>
      <c r="C40" s="4" t="inlineStr">
        <is>
          <t>כל הנוסחאות של כל התאים הצהובים, מוכנות להעתקה.</t>
        </is>
      </c>
    </row>
    <row r="42">
      <c r="B42" s="3" t="inlineStr">
        <is>
          <t>מקרא</t>
        </is>
      </c>
    </row>
    <row r="43">
      <c r="C43" s="5" t="inlineStr">
        <is>
          <t>להקליד נוסחה</t>
        </is>
      </c>
    </row>
    <row r="44">
      <c r="C44" s="6" t="inlineStr">
        <is>
          <t>נתון קיים</t>
        </is>
      </c>
    </row>
    <row r="45">
      <c r="C45" s="7" t="inlineStr">
        <is>
          <t>תוצאה אוטומטית</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5"/>
  <sheetViews>
    <sheetView rightToLeft="1" workbookViewId="0">
      <pane ySplit="4" topLeftCell="A5" activePane="bottomLeft" state="frozen"/>
      <selection pane="bottomLeft" activeCell="A1" sqref="A1"/>
    </sheetView>
  </sheetViews>
  <sheetFormatPr baseColWidth="8" defaultRowHeight="15"/>
  <cols>
    <col width="16" customWidth="1" min="1" max="1"/>
    <col width="46" customWidth="1" min="2" max="2"/>
    <col width="18" customWidth="1" min="3" max="3"/>
    <col width="14" customWidth="1" min="4" max="4"/>
  </cols>
  <sheetData>
    <row r="1" ht="34" customHeight="1">
      <c r="A1" s="1" t="inlineStr">
        <is>
          <t>פלט בנק גולמי · ינואר–יוני 2026</t>
        </is>
      </c>
    </row>
    <row r="2" ht="20" customHeight="1">
      <c r="A2" s="2" t="inlineStr">
        <is>
          <t>בדיוק כפי שיורד מאתר הבנק: תאריכים בשני פורמטים, סכומים כטקסט, רווחים כפולים, וכפילויות. אל תתקנו ידנית.</t>
        </is>
      </c>
    </row>
    <row r="4" ht="30" customHeight="1">
      <c r="A4" s="8" t="inlineStr">
        <is>
          <t>תאריך_גולמי</t>
        </is>
      </c>
      <c r="B4" s="8" t="inlineStr">
        <is>
          <t>תיאור_גולמי</t>
        </is>
      </c>
      <c r="C4" s="8" t="inlineStr">
        <is>
          <t>סכום_גולמי</t>
        </is>
      </c>
      <c r="D4" s="8" t="inlineStr">
        <is>
          <t>אסמכתא</t>
        </is>
      </c>
    </row>
    <row r="5">
      <c r="A5" s="9" t="inlineStr">
        <is>
          <t>4.1.26</t>
        </is>
      </c>
      <c r="B5" s="9" t="inlineStr">
        <is>
          <t>חשמל - חברת החשמל</t>
        </is>
      </c>
      <c r="C5" s="9" t="inlineStr">
        <is>
          <t>(57,529 ₪)</t>
        </is>
      </c>
      <c r="D5" s="9" t="inlineStr">
        <is>
          <t>A780016</t>
        </is>
      </c>
    </row>
    <row r="6">
      <c r="A6" s="9" t="inlineStr">
        <is>
          <t>22.1.26</t>
        </is>
      </c>
      <c r="B6" s="9" t="inlineStr">
        <is>
          <t>מוסך מורשה - טיפול 40 אלף</t>
        </is>
      </c>
      <c r="C6" s="9" t="inlineStr">
        <is>
          <t>(50,917 ₪)</t>
        </is>
      </c>
      <c r="D6" s="9" t="inlineStr">
        <is>
          <t>A780024</t>
        </is>
      </c>
    </row>
    <row r="7">
      <c r="A7" s="9" t="inlineStr">
        <is>
          <t>23.5.26</t>
        </is>
      </c>
      <c r="B7" s="9" t="inlineStr">
        <is>
          <t>ציוד משרדי - אופיס דיפו</t>
        </is>
      </c>
      <c r="C7" s="9" t="inlineStr">
        <is>
          <t xml:space="preserve"> (52,230 ₪) </t>
        </is>
      </c>
      <c r="D7" s="9" t="inlineStr">
        <is>
          <t>A780086</t>
        </is>
      </c>
    </row>
    <row r="8">
      <c r="A8" s="9" t="inlineStr">
        <is>
          <t>18/02/2026</t>
        </is>
      </c>
      <c r="B8" s="9" t="inlineStr">
        <is>
          <t>מוסך  מורשה - טיפול 40 אלף</t>
        </is>
      </c>
      <c r="C8" s="9" t="inlineStr">
        <is>
          <t>(43,383 ₪)</t>
        </is>
      </c>
      <c r="D8" s="9" t="inlineStr">
        <is>
          <t>A780037</t>
        </is>
      </c>
    </row>
    <row r="9">
      <c r="A9" s="9" t="inlineStr">
        <is>
          <t>7.3.26</t>
        </is>
      </c>
      <c r="B9" s="9" t="inlineStr">
        <is>
          <t>חשמל  - חברת החשמל</t>
        </is>
      </c>
      <c r="C9" s="9" t="inlineStr">
        <is>
          <t>(89,287 ₪)</t>
        </is>
      </c>
      <c r="D9" s="9" t="inlineStr">
        <is>
          <t>A780055</t>
        </is>
      </c>
    </row>
    <row r="10">
      <c r="A10" s="9" t="inlineStr">
        <is>
          <t>10.1.26</t>
        </is>
      </c>
      <c r="B10" s="9" t="inlineStr">
        <is>
          <t>לקוח מגה טק בעמ</t>
        </is>
      </c>
      <c r="C10" s="9" t="inlineStr">
        <is>
          <t>120,968 ₪</t>
        </is>
      </c>
      <c r="D10" s="9" t="inlineStr">
        <is>
          <t>A780025</t>
        </is>
      </c>
    </row>
    <row r="11">
      <c r="A11" s="9" t="inlineStr">
        <is>
          <t>15/06/2026</t>
        </is>
      </c>
      <c r="B11" s="9" t="inlineStr">
        <is>
          <t>כביש 6 - חיוב חודשי</t>
        </is>
      </c>
      <c r="C11" s="9" t="inlineStr">
        <is>
          <t>(9,211 ₪)</t>
        </is>
      </c>
      <c r="D11" s="9" t="inlineStr">
        <is>
          <t>A780098</t>
        </is>
      </c>
    </row>
    <row r="12">
      <c r="A12" s="9" t="inlineStr">
        <is>
          <t>19.1.26</t>
        </is>
      </c>
      <c r="B12" s="9" t="inlineStr">
        <is>
          <t>עו"ד  ליווי חוזים</t>
        </is>
      </c>
      <c r="C12" s="9" t="inlineStr">
        <is>
          <t xml:space="preserve"> (49,990 ₪) </t>
        </is>
      </c>
      <c r="D12" s="9" t="inlineStr">
        <is>
          <t>A780015</t>
        </is>
      </c>
    </row>
    <row r="13">
      <c r="A13" s="9" t="inlineStr">
        <is>
          <t>06/05/2026</t>
        </is>
      </c>
      <c r="B13" s="9" t="inlineStr">
        <is>
          <t>חשמל  - חברת החשמל</t>
        </is>
      </c>
      <c r="C13" s="9" t="inlineStr">
        <is>
          <t>(49,121 ₪)</t>
        </is>
      </c>
      <c r="D13" s="9" t="inlineStr">
        <is>
          <t>A780089</t>
        </is>
      </c>
    </row>
    <row r="14">
      <c r="A14" s="9" t="inlineStr">
        <is>
          <t>04/02/2026</t>
        </is>
      </c>
      <c r="B14" s="9" t="inlineStr">
        <is>
          <t xml:space="preserve">מסעדה - אירוח לקוח </t>
        </is>
      </c>
      <c r="C14" s="9" t="inlineStr">
        <is>
          <t>(231,345 ₪)</t>
        </is>
      </c>
      <c r="D14" s="9" t="inlineStr">
        <is>
          <t>A780034</t>
        </is>
      </c>
    </row>
    <row r="15">
      <c r="A15" s="9" t="inlineStr">
        <is>
          <t>10/05/2026</t>
        </is>
      </c>
      <c r="B15" s="9" t="inlineStr">
        <is>
          <t xml:space="preserve">גוגל אדס - קמפיין חיפוש  </t>
        </is>
      </c>
      <c r="C15" s="9" t="inlineStr">
        <is>
          <t>(54,102 ₪)</t>
        </is>
      </c>
      <c r="D15" s="9" t="inlineStr">
        <is>
          <t>A780078</t>
        </is>
      </c>
    </row>
    <row r="16">
      <c r="A16" s="9" t="inlineStr">
        <is>
          <t>19.5.26</t>
        </is>
      </c>
      <c r="B16" s="9" t="inlineStr">
        <is>
          <t>דלק - פזומט</t>
        </is>
      </c>
      <c r="C16" s="9" t="inlineStr">
        <is>
          <t>(19,846 ₪)</t>
        </is>
      </c>
      <c r="D16" s="9" t="inlineStr">
        <is>
          <t>A780087</t>
        </is>
      </c>
    </row>
    <row r="17">
      <c r="A17" s="9" t="inlineStr">
        <is>
          <t>27.3.26</t>
        </is>
      </c>
      <c r="B17" s="9" t="inlineStr">
        <is>
          <t xml:space="preserve">כביש  6 - חיוב חודשי </t>
        </is>
      </c>
      <c r="C17" s="9" t="inlineStr">
        <is>
          <t>(18,981 ₪)</t>
        </is>
      </c>
      <c r="D17" s="9" t="inlineStr">
        <is>
          <t>A780048</t>
        </is>
      </c>
    </row>
    <row r="18">
      <c r="A18" s="9" t="inlineStr">
        <is>
          <t>03/04/2026</t>
        </is>
      </c>
      <c r="B18" s="9" t="inlineStr">
        <is>
          <t>עו"ד ליווי חוזים</t>
        </is>
      </c>
      <c r="C18" s="9" t="inlineStr">
        <is>
          <t>(33,472 ₪)</t>
        </is>
      </c>
      <c r="D18" s="9" t="inlineStr">
        <is>
          <t>A780065</t>
        </is>
      </c>
    </row>
    <row r="19">
      <c r="A19" s="9" t="inlineStr">
        <is>
          <t>18/03/2026</t>
        </is>
      </c>
      <c r="B19" s="9" t="inlineStr">
        <is>
          <t>לקוח - רשת אופיס פלוס</t>
        </is>
      </c>
      <c r="C19" s="9" t="inlineStr">
        <is>
          <t>284,793 ₪</t>
        </is>
      </c>
      <c r="D19" s="9" t="inlineStr">
        <is>
          <t>A780054</t>
        </is>
      </c>
    </row>
    <row r="20">
      <c r="A20" s="9" t="inlineStr">
        <is>
          <t>25.3.26</t>
        </is>
      </c>
      <c r="B20" s="9" t="inlineStr">
        <is>
          <t xml:space="preserve">לקוח מגה טק בעמ </t>
        </is>
      </c>
      <c r="C20" s="9" t="inlineStr">
        <is>
          <t xml:space="preserve"> 263,041 ₪ </t>
        </is>
      </c>
      <c r="D20" s="9" t="inlineStr">
        <is>
          <t>A780052</t>
        </is>
      </c>
    </row>
    <row r="21">
      <c r="A21" s="9" t="inlineStr">
        <is>
          <t>26.5.26</t>
        </is>
      </c>
      <c r="B21" s="9" t="inlineStr">
        <is>
          <t>מכס ומסים - שחרור מטען</t>
        </is>
      </c>
      <c r="C21" s="9" t="inlineStr">
        <is>
          <t>(269,628 ₪)</t>
        </is>
      </c>
      <c r="D21" s="9" t="inlineStr">
        <is>
          <t>A780091</t>
        </is>
      </c>
    </row>
    <row r="22">
      <c r="A22" s="9" t="inlineStr">
        <is>
          <t>21/02/2026</t>
        </is>
      </c>
      <c r="B22" s="9" t="inlineStr">
        <is>
          <t>יבוא ימי - עמילות</t>
        </is>
      </c>
      <c r="C22" s="9" t="inlineStr">
        <is>
          <t>(368,755 ₪)</t>
        </is>
      </c>
      <c r="D22" s="9" t="inlineStr">
        <is>
          <t>A780043</t>
        </is>
      </c>
    </row>
    <row r="23">
      <c r="A23" s="9" t="inlineStr">
        <is>
          <t>21.6.26</t>
        </is>
      </c>
      <c r="B23" s="9" t="inlineStr">
        <is>
          <t>קפה ומטבחון - סופר</t>
        </is>
      </c>
      <c r="C23" s="9" t="inlineStr">
        <is>
          <t>(50,062 ₪)</t>
        </is>
      </c>
      <c r="D23" s="9" t="inlineStr">
        <is>
          <t>A780100</t>
        </is>
      </c>
    </row>
    <row r="24">
      <c r="A24" s="9" t="inlineStr">
        <is>
          <t>17.6.26</t>
        </is>
      </c>
      <c r="B24" s="9" t="inlineStr">
        <is>
          <t>העברה מלקוח בית ההשקעות נוה</t>
        </is>
      </c>
      <c r="C24" s="9" t="inlineStr">
        <is>
          <t xml:space="preserve"> 163,848 ₪ </t>
        </is>
      </c>
      <c r="D24" s="9" t="inlineStr">
        <is>
          <t>A780094</t>
        </is>
      </c>
    </row>
    <row r="25">
      <c r="A25" s="9" t="inlineStr">
        <is>
          <t>21/06/2026</t>
        </is>
      </c>
      <c r="B25" s="9" t="inlineStr">
        <is>
          <t>ציוד  משרדי - אופיס דיפו</t>
        </is>
      </c>
      <c r="C25" s="9" t="inlineStr">
        <is>
          <t>(85,910 ₪)</t>
        </is>
      </c>
      <c r="D25" s="9" t="inlineStr">
        <is>
          <t>A780103</t>
        </is>
      </c>
    </row>
    <row r="26">
      <c r="A26" s="9" t="inlineStr">
        <is>
          <t>28/06/2026</t>
        </is>
      </c>
      <c r="B26" s="9" t="inlineStr">
        <is>
          <t>ספק גרמניה  GmbH</t>
        </is>
      </c>
      <c r="C26" s="9" t="inlineStr">
        <is>
          <t>(330,259 ₪)</t>
        </is>
      </c>
      <c r="D26" s="9" t="inlineStr">
        <is>
          <t>A780106</t>
        </is>
      </c>
    </row>
    <row r="27">
      <c r="A27" s="9" t="inlineStr">
        <is>
          <t>16/06/2026</t>
        </is>
      </c>
      <c r="B27" s="9" t="inlineStr">
        <is>
          <t>דואר  ישראל - משלוחים</t>
        </is>
      </c>
      <c r="C27" s="9" t="inlineStr">
        <is>
          <t>(88,680 ₪)</t>
        </is>
      </c>
      <c r="D27" s="9" t="inlineStr">
        <is>
          <t>A780097</t>
        </is>
      </c>
    </row>
    <row r="28">
      <c r="A28" s="9" t="inlineStr">
        <is>
          <t>19.1.26</t>
        </is>
      </c>
      <c r="B28" s="9" t="inlineStr">
        <is>
          <t xml:space="preserve">שכירות משרד ומחסן  </t>
        </is>
      </c>
      <c r="C28" s="9" t="inlineStr">
        <is>
          <t>(58,903 ₪)</t>
        </is>
      </c>
      <c r="D28" s="9" t="inlineStr">
        <is>
          <t>A780022</t>
        </is>
      </c>
    </row>
    <row r="29">
      <c r="A29" s="9" t="inlineStr">
        <is>
          <t>3.4.26</t>
        </is>
      </c>
      <c r="B29" s="9" t="inlineStr">
        <is>
          <t xml:space="preserve">גוגל אדס - קמפיין חיפוש </t>
        </is>
      </c>
      <c r="C29" s="9" t="inlineStr">
        <is>
          <t>(78,171 ₪)</t>
        </is>
      </c>
      <c r="D29" s="9" t="inlineStr">
        <is>
          <t>A780061</t>
        </is>
      </c>
    </row>
    <row r="30">
      <c r="A30" s="9" t="inlineStr">
        <is>
          <t>23.6.26</t>
        </is>
      </c>
      <c r="B30" s="9" t="inlineStr">
        <is>
          <t>מקדמות  מס הכנסה</t>
        </is>
      </c>
      <c r="C30" s="9" t="inlineStr">
        <is>
          <t>(32,848 ₪)</t>
        </is>
      </c>
      <c r="D30" s="9" t="inlineStr">
        <is>
          <t>A780101</t>
        </is>
      </c>
    </row>
    <row r="31">
      <c r="A31" s="9" t="inlineStr">
        <is>
          <t>07/01/2026</t>
        </is>
      </c>
      <c r="B31" s="9" t="inlineStr">
        <is>
          <t>ארנונה עיריית פתח תקווה</t>
        </is>
      </c>
      <c r="C31" s="9" t="inlineStr">
        <is>
          <t>(57,198 ₪)</t>
        </is>
      </c>
      <c r="D31" s="9" t="inlineStr">
        <is>
          <t>A780017</t>
        </is>
      </c>
    </row>
    <row r="32">
      <c r="A32" s="9" t="inlineStr">
        <is>
          <t>01/05/2026</t>
        </is>
      </c>
      <c r="B32" s="9" t="inlineStr">
        <is>
          <t>עמלת סליקה - כרטיסי אשראי</t>
        </is>
      </c>
      <c r="C32" s="9" t="inlineStr">
        <is>
          <t>(86,696 ₪)</t>
        </is>
      </c>
      <c r="D32" s="9" t="inlineStr">
        <is>
          <t>A780079</t>
        </is>
      </c>
    </row>
    <row r="33">
      <c r="A33" s="9" t="inlineStr">
        <is>
          <t>05/04/2026</t>
        </is>
      </c>
      <c r="B33" s="9" t="inlineStr">
        <is>
          <t xml:space="preserve">דלק - פזומט </t>
        </is>
      </c>
      <c r="C33" s="9" t="inlineStr">
        <is>
          <t>(74,978 ₪)</t>
        </is>
      </c>
      <c r="D33" s="9" t="inlineStr">
        <is>
          <t>A780069</t>
        </is>
      </c>
    </row>
    <row r="34">
      <c r="A34" s="9" t="inlineStr">
        <is>
          <t>24.3.26</t>
        </is>
      </c>
      <c r="B34" s="9" t="inlineStr">
        <is>
          <t>דלק - פזומט</t>
        </is>
      </c>
      <c r="C34" s="9" t="inlineStr">
        <is>
          <t>(3,941 ₪)</t>
        </is>
      </c>
      <c r="D34" s="9" t="inlineStr">
        <is>
          <t>A780046</t>
        </is>
      </c>
    </row>
    <row r="35">
      <c r="A35" s="9" t="inlineStr">
        <is>
          <t>2.1.26</t>
        </is>
      </c>
      <c r="B35" s="9" t="inlineStr">
        <is>
          <t xml:space="preserve">פנסיה - הפקדות מעביד  </t>
        </is>
      </c>
      <c r="C35" s="9" t="inlineStr">
        <is>
          <t>(14,512 ₪)</t>
        </is>
      </c>
      <c r="D35" s="9" t="inlineStr">
        <is>
          <t>A780012</t>
        </is>
      </c>
    </row>
    <row r="36">
      <c r="A36" s="9" t="inlineStr">
        <is>
          <t>10/03/2026</t>
        </is>
      </c>
      <c r="B36" s="9" t="inlineStr">
        <is>
          <t>העברה מלקוח בית ההשקעות נוה</t>
        </is>
      </c>
      <c r="C36" s="9" t="inlineStr">
        <is>
          <t>104,612 ₪</t>
        </is>
      </c>
      <c r="D36" s="9" t="inlineStr">
        <is>
          <t>A780047</t>
        </is>
      </c>
    </row>
    <row r="37">
      <c r="A37" s="9" t="inlineStr">
        <is>
          <t>01/02/2026</t>
        </is>
      </c>
      <c r="B37" s="9" t="inlineStr">
        <is>
          <t>משיכת  בעלים</t>
        </is>
      </c>
      <c r="C37" s="9" t="inlineStr">
        <is>
          <t>(55,654 ₪)</t>
        </is>
      </c>
      <c r="D37" s="9" t="inlineStr">
        <is>
          <t>A780039</t>
        </is>
      </c>
    </row>
    <row r="38">
      <c r="A38" s="9" t="inlineStr">
        <is>
          <t>17/05/2026</t>
        </is>
      </c>
      <c r="B38" s="9" t="inlineStr">
        <is>
          <t>מוסך  מורשה - טיפול 40 אלף</t>
        </is>
      </c>
      <c r="C38" s="9" t="inlineStr">
        <is>
          <t>(25,671 ₪)</t>
        </is>
      </c>
      <c r="D38" s="9" t="inlineStr">
        <is>
          <t>A780082</t>
        </is>
      </c>
    </row>
    <row r="39">
      <c r="A39" s="9" t="inlineStr">
        <is>
          <t>04/06/2026</t>
        </is>
      </c>
      <c r="B39" s="9" t="inlineStr">
        <is>
          <t>לקוח - רשת אופיס פלוס</t>
        </is>
      </c>
      <c r="C39" s="9" t="inlineStr">
        <is>
          <t>86,524 ₪</t>
        </is>
      </c>
      <c r="D39" s="9" t="inlineStr">
        <is>
          <t>A780105</t>
        </is>
      </c>
    </row>
    <row r="40">
      <c r="A40" s="9" t="inlineStr">
        <is>
          <t>14/02/2026</t>
        </is>
      </c>
      <c r="B40" s="9" t="inlineStr">
        <is>
          <t>לקוח - רשת אופיס פלוס</t>
        </is>
      </c>
      <c r="C40" s="9" t="inlineStr">
        <is>
          <t>305,220 ₪</t>
        </is>
      </c>
      <c r="D40" s="9" t="inlineStr">
        <is>
          <t>A780032</t>
        </is>
      </c>
    </row>
    <row r="41">
      <c r="A41" s="9" t="inlineStr">
        <is>
          <t>16.5.26</t>
        </is>
      </c>
      <c r="B41" s="9" t="inlineStr">
        <is>
          <t>משיכת בעלים</t>
        </is>
      </c>
      <c r="C41" s="9" t="inlineStr">
        <is>
          <t>(8,238 ₪)</t>
        </is>
      </c>
      <c r="D41" s="9" t="inlineStr">
        <is>
          <t>A780080</t>
        </is>
      </c>
    </row>
    <row r="42">
      <c r="A42" s="9" t="inlineStr">
        <is>
          <t>08/03/2026</t>
        </is>
      </c>
      <c r="B42" s="9" t="inlineStr">
        <is>
          <t>מקדמות מס הכנסה</t>
        </is>
      </c>
      <c r="C42" s="9" t="inlineStr">
        <is>
          <t xml:space="preserve"> (51,587 ₪) </t>
        </is>
      </c>
      <c r="D42" s="9" t="inlineStr">
        <is>
          <t>A780056</t>
        </is>
      </c>
    </row>
    <row r="43">
      <c r="A43" s="9" t="inlineStr">
        <is>
          <t>07/05/2026</t>
        </is>
      </c>
      <c r="B43" s="9" t="inlineStr">
        <is>
          <t>ארנונה  עיריית פתח תקווה</t>
        </is>
      </c>
      <c r="C43" s="9" t="inlineStr">
        <is>
          <t>(57,978 ₪)</t>
        </is>
      </c>
      <c r="D43" s="9" t="inlineStr">
        <is>
          <t>A780085</t>
        </is>
      </c>
    </row>
    <row r="44">
      <c r="A44" s="9" t="inlineStr">
        <is>
          <t>02/01/2026</t>
        </is>
      </c>
      <c r="B44" s="9" t="inlineStr">
        <is>
          <t xml:space="preserve">ציוד משרדי - אופיס דיפו </t>
        </is>
      </c>
      <c r="C44" s="9" t="inlineStr">
        <is>
          <t>(18,463 ₪)</t>
        </is>
      </c>
      <c r="D44" s="9" t="inlineStr">
        <is>
          <t>A780019</t>
        </is>
      </c>
    </row>
    <row r="45">
      <c r="A45" s="9" t="inlineStr">
        <is>
          <t>16/03/2026</t>
        </is>
      </c>
      <c r="B45" s="9" t="inlineStr">
        <is>
          <t>העברה מלקוח אלפא מערכות</t>
        </is>
      </c>
      <c r="C45" s="9" t="inlineStr">
        <is>
          <t>312,283 ₪</t>
        </is>
      </c>
      <c r="D45" s="9" t="inlineStr">
        <is>
          <t>A780057</t>
        </is>
      </c>
    </row>
    <row r="46">
      <c r="A46" s="9" t="inlineStr">
        <is>
          <t>3.2.26</t>
        </is>
      </c>
      <c r="B46" s="9" t="inlineStr">
        <is>
          <t>פייסבוק אדס</t>
        </is>
      </c>
      <c r="C46" s="9" t="inlineStr">
        <is>
          <t xml:space="preserve"> (72,136 ₪) </t>
        </is>
      </c>
      <c r="D46" s="9" t="inlineStr">
        <is>
          <t>A780029</t>
        </is>
      </c>
    </row>
    <row r="47">
      <c r="A47" s="9" t="inlineStr">
        <is>
          <t>11.6.26</t>
        </is>
      </c>
      <c r="B47" s="9" t="inlineStr">
        <is>
          <t>מכס ומסים - שחרור מטען</t>
        </is>
      </c>
      <c r="C47" s="9" t="inlineStr">
        <is>
          <t>(260,993 ₪)</t>
        </is>
      </c>
      <c r="D47" s="9" t="inlineStr">
        <is>
          <t>A780107</t>
        </is>
      </c>
    </row>
    <row r="48">
      <c r="A48" s="9" t="inlineStr">
        <is>
          <t>19/04/2026</t>
        </is>
      </c>
      <c r="B48" s="9" t="inlineStr">
        <is>
          <t>חשמל - חברת החשמל</t>
        </is>
      </c>
      <c r="C48" s="9" t="inlineStr">
        <is>
          <t>(78,008 ₪)</t>
        </is>
      </c>
      <c r="D48" s="9" t="inlineStr">
        <is>
          <t>A780060</t>
        </is>
      </c>
    </row>
    <row r="49">
      <c r="A49" s="9" t="inlineStr">
        <is>
          <t>10/04/2026</t>
        </is>
      </c>
      <c r="B49" s="9" t="inlineStr">
        <is>
          <t>ספק גרמניה  GmbH</t>
        </is>
      </c>
      <c r="C49" s="9" t="inlineStr">
        <is>
          <t>(419,966 ₪)</t>
        </is>
      </c>
      <c r="D49" s="9" t="inlineStr">
        <is>
          <t>A780074</t>
        </is>
      </c>
    </row>
    <row r="50">
      <c r="A50" s="9" t="inlineStr">
        <is>
          <t>27.6.26</t>
        </is>
      </c>
      <c r="B50" s="9" t="inlineStr">
        <is>
          <t>פנסיה - הפקדות מעביד</t>
        </is>
      </c>
      <c r="C50" s="9" t="inlineStr">
        <is>
          <t>(89,540 ₪)</t>
        </is>
      </c>
      <c r="D50" s="9" t="inlineStr">
        <is>
          <t>A780095</t>
        </is>
      </c>
    </row>
    <row r="51">
      <c r="A51" s="9" t="inlineStr">
        <is>
          <t>1.6.26</t>
        </is>
      </c>
      <c r="B51" s="9" t="inlineStr">
        <is>
          <t>משיכת בעלים</t>
        </is>
      </c>
      <c r="C51" s="9" t="inlineStr">
        <is>
          <t xml:space="preserve"> (28,072 ₪) </t>
        </is>
      </c>
      <c r="D51" s="9" t="inlineStr">
        <is>
          <t>A780093</t>
        </is>
      </c>
    </row>
    <row r="52">
      <c r="A52" s="9" t="inlineStr">
        <is>
          <t>03/06/2026</t>
        </is>
      </c>
      <c r="B52" s="9" t="inlineStr">
        <is>
          <t>דלק  - פזומט</t>
        </is>
      </c>
      <c r="C52" s="9" t="inlineStr">
        <is>
          <t xml:space="preserve"> (49,186 ₪) </t>
        </is>
      </c>
      <c r="D52" s="9" t="inlineStr">
        <is>
          <t>A780099</t>
        </is>
      </c>
    </row>
    <row r="53">
      <c r="A53" s="9" t="inlineStr">
        <is>
          <t>11/02/2026</t>
        </is>
      </c>
      <c r="B53" s="9" t="inlineStr">
        <is>
          <t>דואר ישראל - משלוחים</t>
        </is>
      </c>
      <c r="C53" s="9" t="inlineStr">
        <is>
          <t>(23,722 ₪)</t>
        </is>
      </c>
      <c r="D53" s="9" t="inlineStr">
        <is>
          <t>A780036</t>
        </is>
      </c>
    </row>
    <row r="54">
      <c r="A54" s="9" t="inlineStr">
        <is>
          <t>25/03/2026</t>
        </is>
      </c>
      <c r="B54" s="9" t="inlineStr">
        <is>
          <t xml:space="preserve">מוסך מורשה - טיפול 40 אלף </t>
        </is>
      </c>
      <c r="C54" s="9" t="inlineStr">
        <is>
          <t xml:space="preserve"> (56,367 ₪) </t>
        </is>
      </c>
      <c r="D54" s="9" t="inlineStr">
        <is>
          <t>A780044</t>
        </is>
      </c>
    </row>
    <row r="55">
      <c r="A55" s="9" t="inlineStr">
        <is>
          <t>01/02/2026</t>
        </is>
      </c>
      <c r="B55" s="9" t="inlineStr">
        <is>
          <t>משיכת  בעלים</t>
        </is>
      </c>
      <c r="C55" s="9" t="inlineStr">
        <is>
          <t>(55,654 ₪)</t>
        </is>
      </c>
      <c r="D55" s="9" t="inlineStr">
        <is>
          <t>A780039</t>
        </is>
      </c>
    </row>
    <row r="56">
      <c r="A56" s="9" t="inlineStr">
        <is>
          <t>12.4.26</t>
        </is>
      </c>
      <c r="B56" s="9" t="inlineStr">
        <is>
          <t>מסעדה  - אירוח לקוח</t>
        </is>
      </c>
      <c r="C56" s="9" t="inlineStr">
        <is>
          <t xml:space="preserve"> (165,437 ₪) </t>
        </is>
      </c>
      <c r="D56" s="9" t="inlineStr">
        <is>
          <t>A780067</t>
        </is>
      </c>
    </row>
    <row r="57">
      <c r="A57" s="9" t="inlineStr">
        <is>
          <t>12.3.26</t>
        </is>
      </c>
      <c r="B57" s="9" t="inlineStr">
        <is>
          <t>ניכויים - טופס 102</t>
        </is>
      </c>
      <c r="C57" s="9" t="inlineStr">
        <is>
          <t xml:space="preserve"> (64,187 ₪) </t>
        </is>
      </c>
      <c r="D57" s="9" t="inlineStr">
        <is>
          <t>A780053</t>
        </is>
      </c>
    </row>
    <row r="58">
      <c r="A58" s="9" t="inlineStr">
        <is>
          <t>6.1.26</t>
        </is>
      </c>
      <c r="B58" s="9" t="inlineStr">
        <is>
          <t>פייסבוק אדס</t>
        </is>
      </c>
      <c r="C58" s="9" t="inlineStr">
        <is>
          <t>(67,568 ₪)</t>
        </is>
      </c>
      <c r="D58" s="9" t="inlineStr">
        <is>
          <t>A780020</t>
        </is>
      </c>
    </row>
    <row r="59">
      <c r="A59" s="9" t="inlineStr">
        <is>
          <t>22/01/2026</t>
        </is>
      </c>
      <c r="B59" s="9" t="inlineStr">
        <is>
          <t xml:space="preserve">ליסינג  תפעולי רכב מנהל </t>
        </is>
      </c>
      <c r="C59" s="9" t="inlineStr">
        <is>
          <t>(67,249 ₪)</t>
        </is>
      </c>
      <c r="D59" s="9" t="inlineStr">
        <is>
          <t>A780018</t>
        </is>
      </c>
    </row>
    <row r="60">
      <c r="A60" s="9" t="inlineStr">
        <is>
          <t>07/04/2026</t>
        </is>
      </c>
      <c r="B60" s="9" t="inlineStr">
        <is>
          <t>ספק סין - TECHPRO LTD</t>
        </is>
      </c>
      <c r="C60" s="9" t="inlineStr">
        <is>
          <t>(198,255 ₪)</t>
        </is>
      </c>
      <c r="D60" s="9" t="inlineStr">
        <is>
          <t>A780075</t>
        </is>
      </c>
    </row>
    <row r="61">
      <c r="A61" s="9" t="inlineStr">
        <is>
          <t>24/03/2026</t>
        </is>
      </c>
      <c r="B61" s="9" t="inlineStr">
        <is>
          <t xml:space="preserve">פנסיה - הפקדות מעביד </t>
        </is>
      </c>
      <c r="C61" s="9" t="inlineStr">
        <is>
          <t>(7,426 ₪)</t>
        </is>
      </c>
      <c r="D61" s="9" t="inlineStr">
        <is>
          <t>A780049</t>
        </is>
      </c>
    </row>
    <row r="62">
      <c r="A62" s="9" t="inlineStr">
        <is>
          <t>11/02/2026</t>
        </is>
      </c>
      <c r="B62" s="9" t="inlineStr">
        <is>
          <t>עו"ד ליווי חוזים</t>
        </is>
      </c>
      <c r="C62" s="9" t="inlineStr">
        <is>
          <t>(37,038 ₪)</t>
        </is>
      </c>
      <c r="D62" s="9" t="inlineStr">
        <is>
          <t>A780035</t>
        </is>
      </c>
    </row>
    <row r="63">
      <c r="A63" s="9" t="inlineStr">
        <is>
          <t>2.5.26</t>
        </is>
      </c>
      <c r="B63" s="9" t="inlineStr">
        <is>
          <t>מקדמות מס הכנסה</t>
        </is>
      </c>
      <c r="C63" s="9" t="inlineStr">
        <is>
          <t>(61,228 ₪)</t>
        </is>
      </c>
      <c r="D63" s="9" t="inlineStr">
        <is>
          <t>A780076</t>
        </is>
      </c>
    </row>
    <row r="64">
      <c r="A64" s="9" t="inlineStr">
        <is>
          <t>26/05/2026</t>
        </is>
      </c>
      <c r="B64" s="9" t="inlineStr">
        <is>
          <t>כביש 6 - חיוב חודשי</t>
        </is>
      </c>
      <c r="C64" s="9" t="inlineStr">
        <is>
          <t>(32,134 ₪)</t>
        </is>
      </c>
      <c r="D64" s="9" t="inlineStr">
        <is>
          <t>A780081</t>
        </is>
      </c>
    </row>
    <row r="65">
      <c r="A65" s="9" t="inlineStr">
        <is>
          <t>05/04/2026</t>
        </is>
      </c>
      <c r="B65" s="9" t="inlineStr">
        <is>
          <t>שכר  עובדים - העברת משכורות</t>
        </is>
      </c>
      <c r="C65" s="9" t="inlineStr">
        <is>
          <t xml:space="preserve"> (120,519 ₪) </t>
        </is>
      </c>
      <c r="D65" s="9" t="inlineStr">
        <is>
          <t>A780071</t>
        </is>
      </c>
    </row>
    <row r="66">
      <c r="A66" s="9" t="inlineStr">
        <is>
          <t>10.1.26</t>
        </is>
      </c>
      <c r="B66" s="9" t="inlineStr">
        <is>
          <t>ספק גרמניה  GmbH</t>
        </is>
      </c>
      <c r="C66" s="9" t="inlineStr">
        <is>
          <t>(292,076 ₪)</t>
        </is>
      </c>
      <c r="D66" s="9" t="inlineStr">
        <is>
          <t>A780026</t>
        </is>
      </c>
    </row>
    <row r="67">
      <c r="A67" s="9" t="inlineStr">
        <is>
          <t>11.3.26</t>
        </is>
      </c>
      <c r="B67" s="9" t="inlineStr">
        <is>
          <t>עו"ד ליווי חוזים</t>
        </is>
      </c>
      <c r="C67" s="9" t="inlineStr">
        <is>
          <t>(68,105 ₪)</t>
        </is>
      </c>
      <c r="D67" s="9" t="inlineStr">
        <is>
          <t>A780051</t>
        </is>
      </c>
    </row>
    <row r="68">
      <c r="A68" s="9" t="inlineStr">
        <is>
          <t>1.4.26</t>
        </is>
      </c>
      <c r="B68" s="9" t="inlineStr">
        <is>
          <t>מקדמות מס הכנסה</t>
        </is>
      </c>
      <c r="C68" s="9" t="inlineStr">
        <is>
          <t>(7,501 ₪)</t>
        </is>
      </c>
      <c r="D68" s="9" t="inlineStr">
        <is>
          <t>A780066</t>
        </is>
      </c>
    </row>
    <row r="69">
      <c r="A69" s="9" t="inlineStr">
        <is>
          <t>05/04/2026</t>
        </is>
      </c>
      <c r="B69" s="9" t="inlineStr">
        <is>
          <t>כביש  6 - חיוב חודשי</t>
        </is>
      </c>
      <c r="C69" s="9" t="inlineStr">
        <is>
          <t xml:space="preserve"> (75,276 ₪) </t>
        </is>
      </c>
      <c r="D69" s="9" t="inlineStr">
        <is>
          <t>A780073</t>
        </is>
      </c>
    </row>
    <row r="70">
      <c r="A70" s="9" t="inlineStr">
        <is>
          <t>03/05/2026</t>
        </is>
      </c>
      <c r="B70" s="9" t="inlineStr">
        <is>
          <t>העברה  מלקוח אלפא מערכות</t>
        </is>
      </c>
      <c r="C70" s="9" t="inlineStr">
        <is>
          <t>91,518 ₪</t>
        </is>
      </c>
      <c r="D70" s="9" t="inlineStr">
        <is>
          <t>A780084</t>
        </is>
      </c>
    </row>
    <row r="71">
      <c r="A71" s="9" t="inlineStr">
        <is>
          <t>13/03/2026</t>
        </is>
      </c>
      <c r="B71" s="9" t="inlineStr">
        <is>
          <t>ספק אביזרים בע"מ</t>
        </is>
      </c>
      <c r="C71" s="9" t="inlineStr">
        <is>
          <t>(196,703 ₪)</t>
        </is>
      </c>
      <c r="D71" s="9" t="inlineStr">
        <is>
          <t>A780058</t>
        </is>
      </c>
    </row>
    <row r="72">
      <c r="A72" s="9" t="inlineStr">
        <is>
          <t>12.1.26</t>
        </is>
      </c>
      <c r="B72" s="9" t="inlineStr">
        <is>
          <t xml:space="preserve">לקוח  - רשת אופיס פלוס </t>
        </is>
      </c>
      <c r="C72" s="9" t="inlineStr">
        <is>
          <t>136,561 ₪</t>
        </is>
      </c>
      <c r="D72" s="9" t="inlineStr">
        <is>
          <t>A780014</t>
        </is>
      </c>
    </row>
    <row r="73">
      <c r="A73" s="9" t="inlineStr">
        <is>
          <t>24.4.26</t>
        </is>
      </c>
      <c r="B73" s="9" t="inlineStr">
        <is>
          <t xml:space="preserve">העברה  מלקוח אלפא מערכות </t>
        </is>
      </c>
      <c r="C73" s="9" t="inlineStr">
        <is>
          <t>145,902 ₪</t>
        </is>
      </c>
      <c r="D73" s="9" t="inlineStr">
        <is>
          <t>A780064</t>
        </is>
      </c>
    </row>
    <row r="74">
      <c r="A74" s="9" t="inlineStr">
        <is>
          <t>26/05/2026</t>
        </is>
      </c>
      <c r="B74" s="9" t="inlineStr">
        <is>
          <t>ליסינג  תפעולי רכב מנהל</t>
        </is>
      </c>
      <c r="C74" s="9" t="inlineStr">
        <is>
          <t>(20,456 ₪)</t>
        </is>
      </c>
      <c r="D74" s="9" t="inlineStr">
        <is>
          <t>A780083</t>
        </is>
      </c>
    </row>
    <row r="75">
      <c r="A75" s="9" t="inlineStr">
        <is>
          <t>16/06/2026</t>
        </is>
      </c>
      <c r="B75" s="9" t="inlineStr">
        <is>
          <t>מע"מ - תשלום דו חודשי</t>
        </is>
      </c>
      <c r="C75" s="9" t="inlineStr">
        <is>
          <t>(77,332 ₪)</t>
        </is>
      </c>
      <c r="D75" s="9" t="inlineStr">
        <is>
          <t>A780092</t>
        </is>
      </c>
    </row>
    <row r="76">
      <c r="A76" s="9" t="inlineStr">
        <is>
          <t>19/01/2026</t>
        </is>
      </c>
      <c r="B76" s="9" t="inlineStr">
        <is>
          <t xml:space="preserve">עמלת בנק - ניהול חשבון </t>
        </is>
      </c>
      <c r="C76" s="9" t="inlineStr">
        <is>
          <t>(84,069 ₪)</t>
        </is>
      </c>
      <c r="D76" s="9" t="inlineStr">
        <is>
          <t>A780023</t>
        </is>
      </c>
    </row>
    <row r="77">
      <c r="A77" s="9" t="inlineStr">
        <is>
          <t>13.2.26</t>
        </is>
      </c>
      <c r="B77" s="9" t="inlineStr">
        <is>
          <t>מע"מ - תשלום דו חודשי</t>
        </is>
      </c>
      <c r="C77" s="9" t="inlineStr">
        <is>
          <t xml:space="preserve"> (77,026 ₪) </t>
        </is>
      </c>
      <c r="D77" s="9" t="inlineStr">
        <is>
          <t>A780030</t>
        </is>
      </c>
    </row>
    <row r="78">
      <c r="A78" s="9" t="inlineStr">
        <is>
          <t>21/02/2026</t>
        </is>
      </c>
      <c r="B78" s="9" t="inlineStr">
        <is>
          <t>מכס ומסים - שחרור מטען</t>
        </is>
      </c>
      <c r="C78" s="9" t="inlineStr">
        <is>
          <t>(358,442 ₪)</t>
        </is>
      </c>
      <c r="D78" s="9" t="inlineStr">
        <is>
          <t>A780042</t>
        </is>
      </c>
    </row>
    <row r="79">
      <c r="A79" s="9" t="inlineStr">
        <is>
          <t>9.5.26</t>
        </is>
      </c>
      <c r="B79" s="9" t="inlineStr">
        <is>
          <t>ספק גרמניה  GmbH</t>
        </is>
      </c>
      <c r="C79" s="9" t="inlineStr">
        <is>
          <t>(222,757 ₪)</t>
        </is>
      </c>
      <c r="D79" s="9" t="inlineStr">
        <is>
          <t>A780090</t>
        </is>
      </c>
    </row>
    <row r="80">
      <c r="A80" s="9" t="inlineStr">
        <is>
          <t>07/01/2026</t>
        </is>
      </c>
      <c r="B80" s="9" t="inlineStr">
        <is>
          <t>ארנונה עיריית פתח תקווה</t>
        </is>
      </c>
      <c r="C80" s="9" t="inlineStr">
        <is>
          <t>(57,198 ₪)</t>
        </is>
      </c>
      <c r="D80" s="9" t="inlineStr">
        <is>
          <t>A780017</t>
        </is>
      </c>
    </row>
    <row r="81">
      <c r="A81" s="9" t="inlineStr">
        <is>
          <t>16/02/2026</t>
        </is>
      </c>
      <c r="B81" s="9" t="inlineStr">
        <is>
          <t>כביש  6 - חיוב חודשי</t>
        </is>
      </c>
      <c r="C81" s="9" t="inlineStr">
        <is>
          <t xml:space="preserve"> (69,596 ₪) </t>
        </is>
      </c>
      <c r="D81" s="9" t="inlineStr">
        <is>
          <t>A780033</t>
        </is>
      </c>
    </row>
    <row r="82">
      <c r="A82" s="9" t="inlineStr">
        <is>
          <t>14/02/2026</t>
        </is>
      </c>
      <c r="B82" s="9" t="inlineStr">
        <is>
          <t>חשמל  - חברת החשמל</t>
        </is>
      </c>
      <c r="C82" s="9" t="inlineStr">
        <is>
          <t>(21,229 ₪)</t>
        </is>
      </c>
      <c r="D82" s="9" t="inlineStr">
        <is>
          <t>A780028</t>
        </is>
      </c>
    </row>
    <row r="83">
      <c r="A83" s="9" t="inlineStr">
        <is>
          <t>05/06/2026</t>
        </is>
      </c>
      <c r="B83" s="9" t="inlineStr">
        <is>
          <t xml:space="preserve">ליסינג תפעולי רכב מנהל </t>
        </is>
      </c>
      <c r="C83" s="9" t="inlineStr">
        <is>
          <t>(49,945 ₪)</t>
        </is>
      </c>
      <c r="D83" s="9" t="inlineStr">
        <is>
          <t>A780104</t>
        </is>
      </c>
    </row>
    <row r="84">
      <c r="A84" s="9" t="inlineStr">
        <is>
          <t>09/01/2026</t>
        </is>
      </c>
      <c r="B84" s="9" t="inlineStr">
        <is>
          <t>העברה מלקוח אלפא מערכות</t>
        </is>
      </c>
      <c r="C84" s="9" t="inlineStr">
        <is>
          <t>107,918 ₪</t>
        </is>
      </c>
      <c r="D84" s="9" t="inlineStr">
        <is>
          <t>A780013</t>
        </is>
      </c>
    </row>
    <row r="85">
      <c r="A85" s="9" t="inlineStr">
        <is>
          <t>15/04/2026</t>
        </is>
      </c>
      <c r="B85" s="9" t="inlineStr">
        <is>
          <t>ארנונה עיריית פתח תקווה</t>
        </is>
      </c>
      <c r="C85" s="9" t="inlineStr">
        <is>
          <t>(88,337 ₪)</t>
        </is>
      </c>
      <c r="D85" s="9" t="inlineStr">
        <is>
          <t>A780062</t>
        </is>
      </c>
    </row>
    <row r="86">
      <c r="A86" s="9" t="inlineStr">
        <is>
          <t>26/04/2026</t>
        </is>
      </c>
      <c r="B86" s="9" t="inlineStr">
        <is>
          <t>מע"מ - תשלום דו חודשי</t>
        </is>
      </c>
      <c r="C86" s="9" t="inlineStr">
        <is>
          <t>(80,928 ₪)</t>
        </is>
      </c>
      <c r="D86" s="9" t="inlineStr">
        <is>
          <t>A780063</t>
        </is>
      </c>
    </row>
    <row r="87">
      <c r="A87" s="9" t="inlineStr">
        <is>
          <t>08/03/2026</t>
        </is>
      </c>
      <c r="B87" s="9" t="inlineStr">
        <is>
          <t>יבוא ימי - עמילות</t>
        </is>
      </c>
      <c r="C87" s="9" t="inlineStr">
        <is>
          <t>(321,247 ₪)</t>
        </is>
      </c>
      <c r="D87" s="9" t="inlineStr">
        <is>
          <t>A780059</t>
        </is>
      </c>
    </row>
    <row r="88">
      <c r="A88" s="9" t="inlineStr">
        <is>
          <t>22/05/2026</t>
        </is>
      </c>
      <c r="B88" s="9" t="inlineStr">
        <is>
          <t>ריבית על אשראי בנקאי</t>
        </is>
      </c>
      <c r="C88" s="9" t="inlineStr">
        <is>
          <t>(78,425 ₪)</t>
        </is>
      </c>
      <c r="D88" s="9" t="inlineStr">
        <is>
          <t>A780077</t>
        </is>
      </c>
    </row>
    <row r="89">
      <c r="A89" s="9" t="inlineStr">
        <is>
          <t>09/01/2026</t>
        </is>
      </c>
      <c r="B89" s="9" t="inlineStr">
        <is>
          <t>העברה מלקוח אלפא מערכות</t>
        </is>
      </c>
      <c r="C89" s="9" t="inlineStr">
        <is>
          <t>107,918 ₪</t>
        </is>
      </c>
      <c r="D89" s="9" t="inlineStr">
        <is>
          <t>A780013</t>
        </is>
      </c>
    </row>
    <row r="90">
      <c r="A90" s="9" t="inlineStr">
        <is>
          <t>18/03/2026</t>
        </is>
      </c>
      <c r="B90" s="9" t="inlineStr">
        <is>
          <t>ציוד  משרדי - אופיס דיפו</t>
        </is>
      </c>
      <c r="C90" s="9" t="inlineStr">
        <is>
          <t>(3,927 ₪)</t>
        </is>
      </c>
      <c r="D90" s="9" t="inlineStr">
        <is>
          <t>A780045</t>
        </is>
      </c>
    </row>
    <row r="91">
      <c r="A91" s="9" t="inlineStr">
        <is>
          <t>23.2.26</t>
        </is>
      </c>
      <c r="B91" s="9" t="inlineStr">
        <is>
          <t xml:space="preserve">פנסיה  - הפקדות מעביד </t>
        </is>
      </c>
      <c r="C91" s="9" t="inlineStr">
        <is>
          <t>(56,424 ₪)</t>
        </is>
      </c>
      <c r="D91" s="9" t="inlineStr">
        <is>
          <t>A780038</t>
        </is>
      </c>
    </row>
    <row r="92">
      <c r="A92" s="9" t="inlineStr">
        <is>
          <t>13/02/2026</t>
        </is>
      </c>
      <c r="B92" s="9" t="inlineStr">
        <is>
          <t xml:space="preserve">ציוד משרדי - אופיס דיפו </t>
        </is>
      </c>
      <c r="C92" s="9" t="inlineStr">
        <is>
          <t>(69,065 ₪)</t>
        </is>
      </c>
      <c r="D92" s="9" t="inlineStr">
        <is>
          <t>A780041</t>
        </is>
      </c>
    </row>
    <row r="93">
      <c r="A93" s="9" t="inlineStr">
        <is>
          <t>19.5.26</t>
        </is>
      </c>
      <c r="B93" s="9" t="inlineStr">
        <is>
          <t xml:space="preserve">מע"מ - תשלום דו חודשי </t>
        </is>
      </c>
      <c r="C93" s="9" t="inlineStr">
        <is>
          <t>(34,184 ₪)</t>
        </is>
      </c>
      <c r="D93" s="9" t="inlineStr">
        <is>
          <t>A780088</t>
        </is>
      </c>
    </row>
    <row r="94">
      <c r="A94" s="9" t="inlineStr">
        <is>
          <t>09/02/2026</t>
        </is>
      </c>
      <c r="B94" s="9" t="inlineStr">
        <is>
          <t>עמלת סליקה - כרטיסי אשראי</t>
        </is>
      </c>
      <c r="C94" s="9" t="inlineStr">
        <is>
          <t>(46,165 ₪)</t>
        </is>
      </c>
      <c r="D94" s="9" t="inlineStr">
        <is>
          <t>A780040</t>
        </is>
      </c>
    </row>
    <row r="95">
      <c r="A95" s="9" t="inlineStr">
        <is>
          <t>3.3.26</t>
        </is>
      </c>
      <c r="B95" s="9" t="inlineStr">
        <is>
          <t xml:space="preserve">דואר ישראל - משלוחים </t>
        </is>
      </c>
      <c r="C95" s="9" t="inlineStr">
        <is>
          <t>(33,438 ₪)</t>
        </is>
      </c>
      <c r="D95" s="9" t="inlineStr">
        <is>
          <t>A780050</t>
        </is>
      </c>
    </row>
    <row r="96">
      <c r="A96" s="9" t="inlineStr">
        <is>
          <t>03/06/2026</t>
        </is>
      </c>
      <c r="B96" s="9" t="inlineStr">
        <is>
          <t>חשמל  - חברת החשמל</t>
        </is>
      </c>
      <c r="C96" s="9" t="inlineStr">
        <is>
          <t>(57,697 ₪)</t>
        </is>
      </c>
      <c r="D96" s="9" t="inlineStr">
        <is>
          <t>A780096</t>
        </is>
      </c>
    </row>
    <row r="97">
      <c r="A97" s="9" t="inlineStr">
        <is>
          <t>26/04/2026</t>
        </is>
      </c>
      <c r="B97" s="9" t="inlineStr">
        <is>
          <t xml:space="preserve">עמלת בנק - ניהול חשבון  </t>
        </is>
      </c>
      <c r="C97" s="9" t="inlineStr">
        <is>
          <t>(53,626 ₪)</t>
        </is>
      </c>
      <c r="D97" s="9" t="inlineStr">
        <is>
          <t>A780070</t>
        </is>
      </c>
    </row>
    <row r="98">
      <c r="A98" s="9" t="inlineStr">
        <is>
          <t>11.1.26</t>
        </is>
      </c>
      <c r="B98" s="9" t="inlineStr">
        <is>
          <t>יבוא ימי - עמילות</t>
        </is>
      </c>
      <c r="C98" s="9" t="inlineStr">
        <is>
          <t>(210,342 ₪)</t>
        </is>
      </c>
      <c r="D98" s="9" t="inlineStr">
        <is>
          <t>A780027</t>
        </is>
      </c>
    </row>
    <row r="99">
      <c r="A99" s="9" t="inlineStr">
        <is>
          <t>18.1.26</t>
        </is>
      </c>
      <c r="B99" s="9" t="inlineStr">
        <is>
          <t>משיכת בעלים</t>
        </is>
      </c>
      <c r="C99" s="9" t="inlineStr">
        <is>
          <t>(45,238 ₪)</t>
        </is>
      </c>
      <c r="D99" s="9" t="inlineStr">
        <is>
          <t>A780021</t>
        </is>
      </c>
    </row>
    <row r="100">
      <c r="A100" s="9" t="inlineStr">
        <is>
          <t>15/06/2026</t>
        </is>
      </c>
      <c r="B100" s="9" t="inlineStr">
        <is>
          <t>כביש 6 - חיוב חודשי</t>
        </is>
      </c>
      <c r="C100" s="9" t="inlineStr">
        <is>
          <t>(9,211 ₪)</t>
        </is>
      </c>
      <c r="D100" s="9" t="inlineStr">
        <is>
          <t>A780098</t>
        </is>
      </c>
    </row>
    <row r="101">
      <c r="A101" s="9" t="inlineStr">
        <is>
          <t>07/05/2026</t>
        </is>
      </c>
      <c r="B101" s="9" t="inlineStr">
        <is>
          <t>ארנונה  עיריית פתח תקווה</t>
        </is>
      </c>
      <c r="C101" s="9" t="inlineStr">
        <is>
          <t>(57,978 ₪)</t>
        </is>
      </c>
      <c r="D101" s="9" t="inlineStr">
        <is>
          <t>A780085</t>
        </is>
      </c>
    </row>
    <row r="102">
      <c r="A102" s="9" t="inlineStr">
        <is>
          <t>23.6.26</t>
        </is>
      </c>
      <c r="B102" s="9" t="inlineStr">
        <is>
          <t>רו"ח - שכר טרחה רבעוני</t>
        </is>
      </c>
      <c r="C102" s="9" t="inlineStr">
        <is>
          <t>(81,845 ₪)</t>
        </is>
      </c>
      <c r="D102" s="9" t="inlineStr">
        <is>
          <t>A780102</t>
        </is>
      </c>
    </row>
    <row r="103">
      <c r="A103" s="9" t="inlineStr">
        <is>
          <t>15.4.26</t>
        </is>
      </c>
      <c r="B103" s="9" t="inlineStr">
        <is>
          <t xml:space="preserve">פנסיה  - הפקדות מעביד </t>
        </is>
      </c>
      <c r="C103" s="9" t="inlineStr">
        <is>
          <t>(44,739 ₪)</t>
        </is>
      </c>
      <c r="D103" s="9" t="inlineStr">
        <is>
          <t>A780068</t>
        </is>
      </c>
    </row>
    <row r="104">
      <c r="A104" s="9" t="inlineStr">
        <is>
          <t>17/04/2026</t>
        </is>
      </c>
      <c r="B104" s="9" t="inlineStr">
        <is>
          <t>לקוח  - רשת אופיס פלוס</t>
        </is>
      </c>
      <c r="C104" s="9" t="inlineStr">
        <is>
          <t>103,937 ₪</t>
        </is>
      </c>
      <c r="D104" s="9" t="inlineStr">
        <is>
          <t>A780072</t>
        </is>
      </c>
    </row>
    <row r="105">
      <c r="A105" s="9" t="inlineStr">
        <is>
          <t>27.2.26</t>
        </is>
      </c>
      <c r="B105" s="9" t="inlineStr">
        <is>
          <t>גוגל אדס - קמפיין חיפוש</t>
        </is>
      </c>
      <c r="C105" s="9" t="inlineStr">
        <is>
          <t>(64,884 ₪)</t>
        </is>
      </c>
      <c r="D105" s="9" t="inlineStr">
        <is>
          <t>A780031</t>
        </is>
      </c>
    </row>
  </sheetData>
  <mergeCells count="2">
    <mergeCell ref="A1:D1"/>
    <mergeCell ref="A2:D2"/>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472"/>
  <sheetViews>
    <sheetView rightToLeft="1" workbookViewId="0">
      <pane ySplit="4" topLeftCell="A5" activePane="bottomLeft" state="frozen"/>
      <selection pane="bottomLeft" activeCell="A1" sqref="A1"/>
    </sheetView>
  </sheetViews>
  <sheetFormatPr baseColWidth="8" defaultRowHeight="15"/>
  <cols>
    <col width="12" customWidth="1" min="1" max="1"/>
    <col width="12" customWidth="1" min="2" max="2"/>
    <col width="10" customWidth="1" min="3" max="3"/>
    <col width="16" customWidth="1" min="4" max="4"/>
    <col width="14" customWidth="1" min="5" max="5"/>
    <col width="20" customWidth="1" min="6" max="6"/>
    <col width="14" customWidth="1" min="7" max="7"/>
  </cols>
  <sheetData>
    <row r="1" ht="34" customHeight="1">
      <c r="A1" s="1" t="inlineStr">
        <is>
          <t>תנועות הנהלת חשבונות · ביצוע בפועל 2026</t>
        </is>
      </c>
    </row>
    <row r="2" ht="20" customHeight="1">
      <c r="A2" s="2" t="inlineStr">
        <is>
          <t>נתון קיים — אל תשנו. זהו מקור האמת לכל דוחות הבקרה.</t>
        </is>
      </c>
    </row>
    <row r="4" ht="30" customHeight="1">
      <c r="A4" s="8" t="inlineStr">
        <is>
          <t>תאריך</t>
        </is>
      </c>
      <c r="B4" s="8" t="inlineStr">
        <is>
          <t>מספר_תנועה</t>
        </is>
      </c>
      <c r="C4" s="8" t="inlineStr">
        <is>
          <t>חודש</t>
        </is>
      </c>
      <c r="D4" s="8" t="inlineStr">
        <is>
          <t>מחלקה</t>
        </is>
      </c>
      <c r="E4" s="8" t="inlineStr">
        <is>
          <t>קבוצה</t>
        </is>
      </c>
      <c r="F4" s="8" t="inlineStr">
        <is>
          <t>סעיף</t>
        </is>
      </c>
      <c r="G4" s="8" t="inlineStr">
        <is>
          <t>סכום</t>
        </is>
      </c>
    </row>
    <row r="5">
      <c r="A5" s="10" t="n">
        <v>46045</v>
      </c>
      <c r="B5" s="11" t="inlineStr">
        <is>
          <t>J41001</t>
        </is>
      </c>
      <c r="C5" s="11" t="n">
        <v>1</v>
      </c>
      <c r="D5" s="11" t="inlineStr">
        <is>
          <t>מכירות ישירות</t>
        </is>
      </c>
      <c r="E5" s="11" t="inlineStr">
        <is>
          <t>הכנסות</t>
        </is>
      </c>
      <c r="F5" s="11" t="inlineStr">
        <is>
          <t>הכנסות ממכירות</t>
        </is>
      </c>
      <c r="G5" s="12" t="n">
        <v>506397</v>
      </c>
    </row>
    <row r="6">
      <c r="A6" s="10" t="n">
        <v>46046</v>
      </c>
      <c r="B6" s="11" t="inlineStr">
        <is>
          <t>J41002</t>
        </is>
      </c>
      <c r="C6" s="11" t="n">
        <v>1</v>
      </c>
      <c r="D6" s="11" t="inlineStr">
        <is>
          <t>ערוץ מפיצים</t>
        </is>
      </c>
      <c r="E6" s="11" t="inlineStr">
        <is>
          <t>הכנסות</t>
        </is>
      </c>
      <c r="F6" s="11" t="inlineStr">
        <is>
          <t>הכנסות ממכירות</t>
        </is>
      </c>
      <c r="G6" s="12" t="n">
        <v>257099</v>
      </c>
    </row>
    <row r="7">
      <c r="A7" s="10" t="n">
        <v>46033</v>
      </c>
      <c r="B7" s="11" t="inlineStr">
        <is>
          <t>J41003</t>
        </is>
      </c>
      <c r="C7" s="11" t="n">
        <v>1</v>
      </c>
      <c r="D7" s="11" t="inlineStr">
        <is>
          <t>שירות ותמיכה</t>
        </is>
      </c>
      <c r="E7" s="11" t="inlineStr">
        <is>
          <t>הכנסות</t>
        </is>
      </c>
      <c r="F7" s="11" t="inlineStr">
        <is>
          <t>הכנסות ממכירות</t>
        </is>
      </c>
      <c r="G7" s="12" t="n">
        <v>137672</v>
      </c>
    </row>
    <row r="8">
      <c r="A8" s="10" t="n">
        <v>46029</v>
      </c>
      <c r="B8" s="11" t="inlineStr">
        <is>
          <t>J41004</t>
        </is>
      </c>
      <c r="C8" s="11" t="n">
        <v>1</v>
      </c>
      <c r="D8" s="11" t="inlineStr">
        <is>
          <t>מכירות ישירות</t>
        </is>
      </c>
      <c r="E8" s="11" t="inlineStr">
        <is>
          <t>הכנסות</t>
        </is>
      </c>
      <c r="F8" s="11" t="inlineStr">
        <is>
          <t>הכנסות משירות</t>
        </is>
      </c>
      <c r="G8" s="12" t="n">
        <v>4448</v>
      </c>
    </row>
    <row r="9">
      <c r="A9" s="10" t="n">
        <v>46032</v>
      </c>
      <c r="B9" s="11" t="inlineStr">
        <is>
          <t>J41005</t>
        </is>
      </c>
      <c r="C9" s="11" t="n">
        <v>1</v>
      </c>
      <c r="D9" s="11" t="inlineStr">
        <is>
          <t>ערוץ מפיצים</t>
        </is>
      </c>
      <c r="E9" s="11" t="inlineStr">
        <is>
          <t>הכנסות</t>
        </is>
      </c>
      <c r="F9" s="11" t="inlineStr">
        <is>
          <t>הכנסות משירות</t>
        </is>
      </c>
      <c r="G9" s="12" t="n">
        <v>3880</v>
      </c>
    </row>
    <row r="10">
      <c r="A10" s="10" t="n">
        <v>46028</v>
      </c>
      <c r="B10" s="11" t="inlineStr">
        <is>
          <t>J41006</t>
        </is>
      </c>
      <c r="C10" s="11" t="n">
        <v>1</v>
      </c>
      <c r="D10" s="11" t="inlineStr">
        <is>
          <t>שירות ותמיכה</t>
        </is>
      </c>
      <c r="E10" s="11" t="inlineStr">
        <is>
          <t>הכנסות</t>
        </is>
      </c>
      <c r="F10" s="11" t="inlineStr">
        <is>
          <t>הכנסות משירות</t>
        </is>
      </c>
      <c r="G10" s="12" t="n">
        <v>78709</v>
      </c>
    </row>
    <row r="11">
      <c r="A11" s="10" t="n">
        <v>46038</v>
      </c>
      <c r="B11" s="11" t="inlineStr">
        <is>
          <t>J41007</t>
        </is>
      </c>
      <c r="C11" s="11" t="n">
        <v>1</v>
      </c>
      <c r="D11" s="11" t="inlineStr">
        <is>
          <t>מכירות ישירות</t>
        </is>
      </c>
      <c r="E11" s="11" t="inlineStr">
        <is>
          <t>עלות המכר</t>
        </is>
      </c>
      <c r="F11" s="11" t="inlineStr">
        <is>
          <t>עלות המכר</t>
        </is>
      </c>
      <c r="G11" s="12" t="n">
        <v>360359</v>
      </c>
    </row>
    <row r="12">
      <c r="A12" s="10" t="n">
        <v>46034</v>
      </c>
      <c r="B12" s="11" t="inlineStr">
        <is>
          <t>J41008</t>
        </is>
      </c>
      <c r="C12" s="11" t="n">
        <v>1</v>
      </c>
      <c r="D12" s="11" t="inlineStr">
        <is>
          <t>ערוץ מפיצים</t>
        </is>
      </c>
      <c r="E12" s="11" t="inlineStr">
        <is>
          <t>עלות המכר</t>
        </is>
      </c>
      <c r="F12" s="11" t="inlineStr">
        <is>
          <t>עלות המכר</t>
        </is>
      </c>
      <c r="G12" s="12" t="n">
        <v>177899</v>
      </c>
    </row>
    <row r="13">
      <c r="A13" s="10" t="n">
        <v>46035</v>
      </c>
      <c r="B13" s="11" t="inlineStr">
        <is>
          <t>J41009</t>
        </is>
      </c>
      <c r="C13" s="11" t="n">
        <v>1</v>
      </c>
      <c r="D13" s="11" t="inlineStr">
        <is>
          <t>שירות ותמיכה</t>
        </is>
      </c>
      <c r="E13" s="11" t="inlineStr">
        <is>
          <t>עלות המכר</t>
        </is>
      </c>
      <c r="F13" s="11" t="inlineStr">
        <is>
          <t>עלות המכר</t>
        </is>
      </c>
      <c r="G13" s="12" t="n">
        <v>96319</v>
      </c>
    </row>
    <row r="14">
      <c r="A14" s="10" t="n">
        <v>46032</v>
      </c>
      <c r="B14" s="11" t="inlineStr">
        <is>
          <t>J41010</t>
        </is>
      </c>
      <c r="C14" s="11" t="n">
        <v>1</v>
      </c>
      <c r="D14" s="11" t="inlineStr">
        <is>
          <t>מכירות ישירות</t>
        </is>
      </c>
      <c r="E14" s="11" t="inlineStr">
        <is>
          <t>הוצאות תפעול</t>
        </is>
      </c>
      <c r="F14" s="11" t="inlineStr">
        <is>
          <t>שכר ונלוות</t>
        </is>
      </c>
      <c r="G14" s="12" t="n">
        <v>76455</v>
      </c>
    </row>
    <row r="15">
      <c r="A15" s="10" t="n">
        <v>46048</v>
      </c>
      <c r="B15" s="11" t="inlineStr">
        <is>
          <t>J41011</t>
        </is>
      </c>
      <c r="C15" s="11" t="n">
        <v>1</v>
      </c>
      <c r="D15" s="11" t="inlineStr">
        <is>
          <t>ערוץ מפיצים</t>
        </is>
      </c>
      <c r="E15" s="11" t="inlineStr">
        <is>
          <t>הוצאות תפעול</t>
        </is>
      </c>
      <c r="F15" s="11" t="inlineStr">
        <is>
          <t>שכר ונלוות</t>
        </is>
      </c>
      <c r="G15" s="12" t="n">
        <v>45861</v>
      </c>
    </row>
    <row r="16">
      <c r="A16" s="10" t="n">
        <v>46037</v>
      </c>
      <c r="B16" s="11" t="inlineStr">
        <is>
          <t>J41012</t>
        </is>
      </c>
      <c r="C16" s="11" t="n">
        <v>1</v>
      </c>
      <c r="D16" s="11" t="inlineStr">
        <is>
          <t>שירות ותמיכה</t>
        </is>
      </c>
      <c r="E16" s="11" t="inlineStr">
        <is>
          <t>הוצאות תפעול</t>
        </is>
      </c>
      <c r="F16" s="11" t="inlineStr">
        <is>
          <t>שכר ונלוות</t>
        </is>
      </c>
      <c r="G16" s="12" t="n">
        <v>23197</v>
      </c>
    </row>
    <row r="17">
      <c r="A17" s="10" t="n">
        <v>46040</v>
      </c>
      <c r="B17" s="11" t="inlineStr">
        <is>
          <t>J41013</t>
        </is>
      </c>
      <c r="C17" s="11" t="n">
        <v>1</v>
      </c>
      <c r="D17" s="11" t="inlineStr">
        <is>
          <t>מכירות ישירות</t>
        </is>
      </c>
      <c r="E17" s="11" t="inlineStr">
        <is>
          <t>הוצאות תפעול</t>
        </is>
      </c>
      <c r="F17" s="11" t="inlineStr">
        <is>
          <t>שכר דירה ואחזקה</t>
        </is>
      </c>
      <c r="G17" s="12" t="n">
        <v>9931</v>
      </c>
    </row>
    <row r="18">
      <c r="A18" s="10" t="n">
        <v>46049</v>
      </c>
      <c r="B18" s="11" t="inlineStr">
        <is>
          <t>J41014</t>
        </is>
      </c>
      <c r="C18" s="11" t="n">
        <v>1</v>
      </c>
      <c r="D18" s="11" t="inlineStr">
        <is>
          <t>ערוץ מפיצים</t>
        </is>
      </c>
      <c r="E18" s="11" t="inlineStr">
        <is>
          <t>הוצאות תפעול</t>
        </is>
      </c>
      <c r="F18" s="11" t="inlineStr">
        <is>
          <t>שכר דירה ואחזקה</t>
        </is>
      </c>
      <c r="G18" s="12" t="n">
        <v>9368</v>
      </c>
    </row>
    <row r="19">
      <c r="A19" s="10" t="n">
        <v>46048</v>
      </c>
      <c r="B19" s="11" t="inlineStr">
        <is>
          <t>J41015</t>
        </is>
      </c>
      <c r="C19" s="11" t="n">
        <v>1</v>
      </c>
      <c r="D19" s="11" t="inlineStr">
        <is>
          <t>שירות ותמיכה</t>
        </is>
      </c>
      <c r="E19" s="11" t="inlineStr">
        <is>
          <t>הוצאות תפעול</t>
        </is>
      </c>
      <c r="F19" s="11" t="inlineStr">
        <is>
          <t>שכר דירה ואחזקה</t>
        </is>
      </c>
      <c r="G19" s="12" t="n">
        <v>9875</v>
      </c>
    </row>
    <row r="20">
      <c r="A20" s="10" t="n">
        <v>46035</v>
      </c>
      <c r="B20" s="11" t="inlineStr">
        <is>
          <t>J41016</t>
        </is>
      </c>
      <c r="C20" s="11" t="n">
        <v>1</v>
      </c>
      <c r="D20" s="11" t="inlineStr">
        <is>
          <t>מכירות ישירות</t>
        </is>
      </c>
      <c r="E20" s="11" t="inlineStr">
        <is>
          <t>הוצאות תפעול</t>
        </is>
      </c>
      <c r="F20" s="11" t="inlineStr">
        <is>
          <t>הוצאות רכב</t>
        </is>
      </c>
      <c r="G20" s="12" t="n">
        <v>10973</v>
      </c>
    </row>
    <row r="21">
      <c r="A21" s="10" t="n">
        <v>46031</v>
      </c>
      <c r="B21" s="11" t="inlineStr">
        <is>
          <t>J41017</t>
        </is>
      </c>
      <c r="C21" s="11" t="n">
        <v>1</v>
      </c>
      <c r="D21" s="11" t="inlineStr">
        <is>
          <t>ערוץ מפיצים</t>
        </is>
      </c>
      <c r="E21" s="11" t="inlineStr">
        <is>
          <t>הוצאות תפעול</t>
        </is>
      </c>
      <c r="F21" s="11" t="inlineStr">
        <is>
          <t>הוצאות רכב</t>
        </is>
      </c>
      <c r="G21" s="12" t="n">
        <v>5561</v>
      </c>
    </row>
    <row r="22">
      <c r="A22" s="10" t="n">
        <v>46042</v>
      </c>
      <c r="B22" s="11" t="inlineStr">
        <is>
          <t>J41018</t>
        </is>
      </c>
      <c r="C22" s="11" t="n">
        <v>1</v>
      </c>
      <c r="D22" s="11" t="inlineStr">
        <is>
          <t>שירות ותמיכה</t>
        </is>
      </c>
      <c r="E22" s="11" t="inlineStr">
        <is>
          <t>הוצאות תפעול</t>
        </is>
      </c>
      <c r="F22" s="11" t="inlineStr">
        <is>
          <t>הוצאות רכב</t>
        </is>
      </c>
      <c r="G22" s="12" t="n">
        <v>2802</v>
      </c>
    </row>
    <row r="23">
      <c r="A23" s="10" t="n">
        <v>46044</v>
      </c>
      <c r="B23" s="11" t="inlineStr">
        <is>
          <t>J41019</t>
        </is>
      </c>
      <c r="C23" s="11" t="n">
        <v>1</v>
      </c>
      <c r="D23" s="11" t="inlineStr">
        <is>
          <t>מכירות ישירות</t>
        </is>
      </c>
      <c r="E23" s="11" t="inlineStr">
        <is>
          <t>הוצאות תפעול</t>
        </is>
      </c>
      <c r="F23" s="11" t="inlineStr">
        <is>
          <t>פרסום ושיווק</t>
        </is>
      </c>
      <c r="G23" s="12" t="n">
        <v>19204</v>
      </c>
    </row>
    <row r="24">
      <c r="A24" s="10" t="n">
        <v>46039</v>
      </c>
      <c r="B24" s="11" t="inlineStr">
        <is>
          <t>J41020</t>
        </is>
      </c>
      <c r="C24" s="11" t="n">
        <v>1</v>
      </c>
      <c r="D24" s="11" t="inlineStr">
        <is>
          <t>ערוץ מפיצים</t>
        </is>
      </c>
      <c r="E24" s="11" t="inlineStr">
        <is>
          <t>הוצאות תפעול</t>
        </is>
      </c>
      <c r="F24" s="11" t="inlineStr">
        <is>
          <t>פרסום ושיווק</t>
        </is>
      </c>
      <c r="G24" s="12" t="n">
        <v>9645</v>
      </c>
    </row>
    <row r="25">
      <c r="A25" s="10" t="n">
        <v>46040</v>
      </c>
      <c r="B25" s="11" t="inlineStr">
        <is>
          <t>J41021</t>
        </is>
      </c>
      <c r="C25" s="11" t="n">
        <v>1</v>
      </c>
      <c r="D25" s="11" t="inlineStr">
        <is>
          <t>שירות ותמיכה</t>
        </is>
      </c>
      <c r="E25" s="11" t="inlineStr">
        <is>
          <t>הוצאות תפעול</t>
        </is>
      </c>
      <c r="F25" s="11" t="inlineStr">
        <is>
          <t>פרסום ושיווק</t>
        </is>
      </c>
      <c r="G25" s="12" t="n">
        <v>5221</v>
      </c>
    </row>
    <row r="26">
      <c r="A26" s="10" t="n">
        <v>46027</v>
      </c>
      <c r="B26" s="11" t="inlineStr">
        <is>
          <t>J41022</t>
        </is>
      </c>
      <c r="C26" s="11" t="n">
        <v>1</v>
      </c>
      <c r="D26" s="11" t="inlineStr">
        <is>
          <t>מכירות ישירות</t>
        </is>
      </c>
      <c r="E26" s="11" t="inlineStr">
        <is>
          <t>הוצאות תפעול</t>
        </is>
      </c>
      <c r="F26" s="11" t="inlineStr">
        <is>
          <t>כיבודים ואירוח</t>
        </is>
      </c>
      <c r="G26" s="12" t="n">
        <v>2609</v>
      </c>
    </row>
    <row r="27">
      <c r="A27" s="10" t="n">
        <v>46025</v>
      </c>
      <c r="B27" s="11" t="inlineStr">
        <is>
          <t>J41023</t>
        </is>
      </c>
      <c r="C27" s="11" t="n">
        <v>1</v>
      </c>
      <c r="D27" s="11" t="inlineStr">
        <is>
          <t>ערוץ מפיצים</t>
        </is>
      </c>
      <c r="E27" s="11" t="inlineStr">
        <is>
          <t>הוצאות תפעול</t>
        </is>
      </c>
      <c r="F27" s="11" t="inlineStr">
        <is>
          <t>כיבודים ואירוח</t>
        </is>
      </c>
      <c r="G27" s="12" t="n">
        <v>1360</v>
      </c>
    </row>
    <row r="28">
      <c r="A28" s="10" t="n">
        <v>46025</v>
      </c>
      <c r="B28" s="11" t="inlineStr">
        <is>
          <t>J41024</t>
        </is>
      </c>
      <c r="C28" s="11" t="n">
        <v>1</v>
      </c>
      <c r="D28" s="11" t="inlineStr">
        <is>
          <t>שירות ותמיכה</t>
        </is>
      </c>
      <c r="E28" s="11" t="inlineStr">
        <is>
          <t>הוצאות תפעול</t>
        </is>
      </c>
      <c r="F28" s="11" t="inlineStr">
        <is>
          <t>כיבודים ואירוח</t>
        </is>
      </c>
      <c r="G28" s="12" t="n">
        <v>602</v>
      </c>
    </row>
    <row r="29">
      <c r="A29" s="10" t="n">
        <v>46029</v>
      </c>
      <c r="B29" s="11" t="inlineStr">
        <is>
          <t>J41025</t>
        </is>
      </c>
      <c r="C29" s="11" t="n">
        <v>1</v>
      </c>
      <c r="D29" s="11" t="inlineStr">
        <is>
          <t>מכירות ישירות</t>
        </is>
      </c>
      <c r="E29" s="11" t="inlineStr">
        <is>
          <t>הוצאות תפעול</t>
        </is>
      </c>
      <c r="F29" s="11" t="inlineStr">
        <is>
          <t>הוצאות משרד</t>
        </is>
      </c>
      <c r="G29" s="12" t="n">
        <v>5363</v>
      </c>
    </row>
    <row r="30">
      <c r="A30" s="10" t="n">
        <v>46032</v>
      </c>
      <c r="B30" s="11" t="inlineStr">
        <is>
          <t>J41026</t>
        </is>
      </c>
      <c r="C30" s="11" t="n">
        <v>1</v>
      </c>
      <c r="D30" s="11" t="inlineStr">
        <is>
          <t>ערוץ מפיצים</t>
        </is>
      </c>
      <c r="E30" s="11" t="inlineStr">
        <is>
          <t>הוצאות תפעול</t>
        </is>
      </c>
      <c r="F30" s="11" t="inlineStr">
        <is>
          <t>הוצאות משרד</t>
        </is>
      </c>
      <c r="G30" s="12" t="n">
        <v>2983</v>
      </c>
    </row>
    <row r="31">
      <c r="A31" s="10" t="n">
        <v>46033</v>
      </c>
      <c r="B31" s="11" t="inlineStr">
        <is>
          <t>J41027</t>
        </is>
      </c>
      <c r="C31" s="11" t="n">
        <v>1</v>
      </c>
      <c r="D31" s="11" t="inlineStr">
        <is>
          <t>שירות ותמיכה</t>
        </is>
      </c>
      <c r="E31" s="11" t="inlineStr">
        <is>
          <t>הוצאות תפעול</t>
        </is>
      </c>
      <c r="F31" s="11" t="inlineStr">
        <is>
          <t>הוצאות משרד</t>
        </is>
      </c>
      <c r="G31" s="12" t="n">
        <v>1439</v>
      </c>
    </row>
    <row r="32">
      <c r="A32" s="10" t="n">
        <v>46041</v>
      </c>
      <c r="B32" s="11" t="inlineStr">
        <is>
          <t>J41028</t>
        </is>
      </c>
      <c r="C32" s="11" t="n">
        <v>1</v>
      </c>
      <c r="D32" s="11" t="inlineStr">
        <is>
          <t>מכירות ישירות</t>
        </is>
      </c>
      <c r="E32" s="11" t="inlineStr">
        <is>
          <t>הוצאות תפעול</t>
        </is>
      </c>
      <c r="F32" s="11" t="inlineStr">
        <is>
          <t>עמלות סליקה</t>
        </is>
      </c>
      <c r="G32" s="12" t="n">
        <v>6200</v>
      </c>
    </row>
    <row r="33">
      <c r="A33" s="10" t="n">
        <v>46024</v>
      </c>
      <c r="B33" s="11" t="inlineStr">
        <is>
          <t>J41029</t>
        </is>
      </c>
      <c r="C33" s="11" t="n">
        <v>1</v>
      </c>
      <c r="D33" s="11" t="inlineStr">
        <is>
          <t>ערוץ מפיצים</t>
        </is>
      </c>
      <c r="E33" s="11" t="inlineStr">
        <is>
          <t>הוצאות תפעול</t>
        </is>
      </c>
      <c r="F33" s="11" t="inlineStr">
        <is>
          <t>עמלות סליקה</t>
        </is>
      </c>
      <c r="G33" s="12" t="n">
        <v>3315</v>
      </c>
    </row>
    <row r="34">
      <c r="A34" s="10" t="n">
        <v>46036</v>
      </c>
      <c r="B34" s="11" t="inlineStr">
        <is>
          <t>J41030</t>
        </is>
      </c>
      <c r="C34" s="11" t="n">
        <v>1</v>
      </c>
      <c r="D34" s="11" t="inlineStr">
        <is>
          <t>שירות ותמיכה</t>
        </is>
      </c>
      <c r="E34" s="11" t="inlineStr">
        <is>
          <t>הוצאות תפעול</t>
        </is>
      </c>
      <c r="F34" s="11" t="inlineStr">
        <is>
          <t>עמלות סליקה</t>
        </is>
      </c>
      <c r="G34" s="12" t="n">
        <v>1739</v>
      </c>
    </row>
    <row r="35">
      <c r="A35" s="10" t="n">
        <v>46036</v>
      </c>
      <c r="B35" s="11" t="inlineStr">
        <is>
          <t>J41031</t>
        </is>
      </c>
      <c r="C35" s="11" t="n">
        <v>1</v>
      </c>
      <c r="D35" s="11" t="inlineStr">
        <is>
          <t>מכירות ישירות</t>
        </is>
      </c>
      <c r="E35" s="11" t="inlineStr">
        <is>
          <t>הוצאות תפעול</t>
        </is>
      </c>
      <c r="F35" s="11" t="inlineStr">
        <is>
          <t>ייעוץ מקצועי</t>
        </is>
      </c>
      <c r="G35" s="12" t="n">
        <v>6330</v>
      </c>
    </row>
    <row r="36">
      <c r="A36" s="10" t="n">
        <v>46045</v>
      </c>
      <c r="B36" s="11" t="inlineStr">
        <is>
          <t>J41032</t>
        </is>
      </c>
      <c r="C36" s="11" t="n">
        <v>1</v>
      </c>
      <c r="D36" s="11" t="inlineStr">
        <is>
          <t>ערוץ מפיצים</t>
        </is>
      </c>
      <c r="E36" s="11" t="inlineStr">
        <is>
          <t>הוצאות תפעול</t>
        </is>
      </c>
      <c r="F36" s="11" t="inlineStr">
        <is>
          <t>ייעוץ מקצועי</t>
        </is>
      </c>
      <c r="G36" s="12" t="n">
        <v>3903</v>
      </c>
    </row>
    <row r="37">
      <c r="A37" s="10" t="n">
        <v>46032</v>
      </c>
      <c r="B37" s="11" t="inlineStr">
        <is>
          <t>J41033</t>
        </is>
      </c>
      <c r="C37" s="11" t="n">
        <v>1</v>
      </c>
      <c r="D37" s="11" t="inlineStr">
        <is>
          <t>שירות ותמיכה</t>
        </is>
      </c>
      <c r="E37" s="11" t="inlineStr">
        <is>
          <t>הוצאות תפעול</t>
        </is>
      </c>
      <c r="F37" s="11" t="inlineStr">
        <is>
          <t>ייעוץ מקצועי</t>
        </is>
      </c>
      <c r="G37" s="12" t="n">
        <v>1906</v>
      </c>
    </row>
    <row r="38">
      <c r="A38" s="10" t="n">
        <v>46040</v>
      </c>
      <c r="B38" s="11" t="inlineStr">
        <is>
          <t>J41034</t>
        </is>
      </c>
      <c r="C38" s="11" t="n">
        <v>1</v>
      </c>
      <c r="D38" s="11" t="inlineStr">
        <is>
          <t>מכירות ישירות</t>
        </is>
      </c>
      <c r="E38" s="11" t="inlineStr">
        <is>
          <t>הוצאות תפעול</t>
        </is>
      </c>
      <c r="F38" s="11" t="inlineStr">
        <is>
          <t>פחת</t>
        </is>
      </c>
      <c r="G38" s="12" t="n">
        <v>4487</v>
      </c>
    </row>
    <row r="39">
      <c r="A39" s="10" t="n">
        <v>46035</v>
      </c>
      <c r="B39" s="11" t="inlineStr">
        <is>
          <t>J41035</t>
        </is>
      </c>
      <c r="C39" s="11" t="n">
        <v>1</v>
      </c>
      <c r="D39" s="11" t="inlineStr">
        <is>
          <t>ערוץ מפיצים</t>
        </is>
      </c>
      <c r="E39" s="11" t="inlineStr">
        <is>
          <t>הוצאות תפעול</t>
        </is>
      </c>
      <c r="F39" s="11" t="inlineStr">
        <is>
          <t>פחת</t>
        </is>
      </c>
      <c r="G39" s="12" t="n">
        <v>3865</v>
      </c>
    </row>
    <row r="40">
      <c r="A40" s="10" t="n">
        <v>46048</v>
      </c>
      <c r="B40" s="11" t="inlineStr">
        <is>
          <t>J41036</t>
        </is>
      </c>
      <c r="C40" s="11" t="n">
        <v>1</v>
      </c>
      <c r="D40" s="11" t="inlineStr">
        <is>
          <t>שירות ותמיכה</t>
        </is>
      </c>
      <c r="E40" s="11" t="inlineStr">
        <is>
          <t>הוצאות תפעול</t>
        </is>
      </c>
      <c r="F40" s="11" t="inlineStr">
        <is>
          <t>פחת</t>
        </is>
      </c>
      <c r="G40" s="12" t="n">
        <v>4576</v>
      </c>
    </row>
    <row r="41">
      <c r="A41" s="10" t="n">
        <v>46033</v>
      </c>
      <c r="B41" s="11" t="inlineStr">
        <is>
          <t>J41037</t>
        </is>
      </c>
      <c r="C41" s="11" t="n">
        <v>1</v>
      </c>
      <c r="D41" s="11" t="inlineStr">
        <is>
          <t>מכירות ישירות</t>
        </is>
      </c>
      <c r="E41" s="11" t="inlineStr">
        <is>
          <t>הוצאות תפעול</t>
        </is>
      </c>
      <c r="F41" s="11" t="inlineStr">
        <is>
          <t>הוצאות מימון</t>
        </is>
      </c>
      <c r="G41" s="12" t="n">
        <v>2513</v>
      </c>
    </row>
    <row r="42">
      <c r="A42" s="10" t="n">
        <v>46044</v>
      </c>
      <c r="B42" s="11" t="inlineStr">
        <is>
          <t>J41038</t>
        </is>
      </c>
      <c r="C42" s="11" t="n">
        <v>1</v>
      </c>
      <c r="D42" s="11" t="inlineStr">
        <is>
          <t>ערוץ מפיצים</t>
        </is>
      </c>
      <c r="E42" s="11" t="inlineStr">
        <is>
          <t>הוצאות תפעול</t>
        </is>
      </c>
      <c r="F42" s="11" t="inlineStr">
        <is>
          <t>הוצאות מימון</t>
        </is>
      </c>
      <c r="G42" s="12" t="n">
        <v>2086</v>
      </c>
    </row>
    <row r="43">
      <c r="A43" s="10" t="n">
        <v>46041</v>
      </c>
      <c r="B43" s="11" t="inlineStr">
        <is>
          <t>J41039</t>
        </is>
      </c>
      <c r="C43" s="11" t="n">
        <v>1</v>
      </c>
      <c r="D43" s="11" t="inlineStr">
        <is>
          <t>שירות ותמיכה</t>
        </is>
      </c>
      <c r="E43" s="11" t="inlineStr">
        <is>
          <t>הוצאות תפעול</t>
        </is>
      </c>
      <c r="F43" s="11" t="inlineStr">
        <is>
          <t>הוצאות מימון</t>
        </is>
      </c>
      <c r="G43" s="12" t="n">
        <v>2392</v>
      </c>
    </row>
    <row r="44">
      <c r="A44" s="10" t="n">
        <v>46055</v>
      </c>
      <c r="B44" s="11" t="inlineStr">
        <is>
          <t>J41040</t>
        </is>
      </c>
      <c r="C44" s="11" t="n">
        <v>2</v>
      </c>
      <c r="D44" s="11" t="inlineStr">
        <is>
          <t>מכירות ישירות</t>
        </is>
      </c>
      <c r="E44" s="11" t="inlineStr">
        <is>
          <t>הכנסות</t>
        </is>
      </c>
      <c r="F44" s="11" t="inlineStr">
        <is>
          <t>הכנסות ממכירות</t>
        </is>
      </c>
      <c r="G44" s="12" t="n">
        <v>475755</v>
      </c>
    </row>
    <row r="45">
      <c r="A45" s="10" t="n">
        <v>46073</v>
      </c>
      <c r="B45" s="11" t="inlineStr">
        <is>
          <t>J41041</t>
        </is>
      </c>
      <c r="C45" s="11" t="n">
        <v>2</v>
      </c>
      <c r="D45" s="11" t="inlineStr">
        <is>
          <t>ערוץ מפיצים</t>
        </is>
      </c>
      <c r="E45" s="11" t="inlineStr">
        <is>
          <t>הכנסות</t>
        </is>
      </c>
      <c r="F45" s="11" t="inlineStr">
        <is>
          <t>הכנסות ממכירות</t>
        </is>
      </c>
      <c r="G45" s="12" t="n">
        <v>234668</v>
      </c>
    </row>
    <row r="46">
      <c r="A46" s="10" t="n">
        <v>46071</v>
      </c>
      <c r="B46" s="11" t="inlineStr">
        <is>
          <t>J41042</t>
        </is>
      </c>
      <c r="C46" s="11" t="n">
        <v>2</v>
      </c>
      <c r="D46" s="11" t="inlineStr">
        <is>
          <t>שירות ותמיכה</t>
        </is>
      </c>
      <c r="E46" s="11" t="inlineStr">
        <is>
          <t>הכנסות</t>
        </is>
      </c>
      <c r="F46" s="11" t="inlineStr">
        <is>
          <t>הכנסות ממכירות</t>
        </is>
      </c>
      <c r="G46" s="12" t="n">
        <v>115906</v>
      </c>
    </row>
    <row r="47">
      <c r="A47" s="10" t="n">
        <v>46071</v>
      </c>
      <c r="B47" s="11" t="inlineStr">
        <is>
          <t>J41043</t>
        </is>
      </c>
      <c r="C47" s="11" t="n">
        <v>2</v>
      </c>
      <c r="D47" s="11" t="inlineStr">
        <is>
          <t>מכירות ישירות</t>
        </is>
      </c>
      <c r="E47" s="11" t="inlineStr">
        <is>
          <t>הכנסות</t>
        </is>
      </c>
      <c r="F47" s="11" t="inlineStr">
        <is>
          <t>הכנסות משירות</t>
        </is>
      </c>
      <c r="G47" s="12" t="n">
        <v>3987</v>
      </c>
    </row>
    <row r="48">
      <c r="A48" s="10" t="n">
        <v>46073</v>
      </c>
      <c r="B48" s="11" t="inlineStr">
        <is>
          <t>J41044</t>
        </is>
      </c>
      <c r="C48" s="11" t="n">
        <v>2</v>
      </c>
      <c r="D48" s="11" t="inlineStr">
        <is>
          <t>ערוץ מפיצים</t>
        </is>
      </c>
      <c r="E48" s="11" t="inlineStr">
        <is>
          <t>הכנסות</t>
        </is>
      </c>
      <c r="F48" s="11" t="inlineStr">
        <is>
          <t>הכנסות משירות</t>
        </is>
      </c>
      <c r="G48" s="12" t="n">
        <v>4066</v>
      </c>
    </row>
    <row r="49">
      <c r="A49" s="10" t="n">
        <v>46074</v>
      </c>
      <c r="B49" s="11" t="inlineStr">
        <is>
          <t>J41045</t>
        </is>
      </c>
      <c r="C49" s="11" t="n">
        <v>2</v>
      </c>
      <c r="D49" s="11" t="inlineStr">
        <is>
          <t>שירות ותמיכה</t>
        </is>
      </c>
      <c r="E49" s="11" t="inlineStr">
        <is>
          <t>הכנסות</t>
        </is>
      </c>
      <c r="F49" s="11" t="inlineStr">
        <is>
          <t>הכנסות משירות</t>
        </is>
      </c>
      <c r="G49" s="12" t="n">
        <v>73775</v>
      </c>
    </row>
    <row r="50">
      <c r="A50" s="10" t="n">
        <v>46063</v>
      </c>
      <c r="B50" s="11" t="inlineStr">
        <is>
          <t>J41046</t>
        </is>
      </c>
      <c r="C50" s="11" t="n">
        <v>2</v>
      </c>
      <c r="D50" s="11" t="inlineStr">
        <is>
          <t>מכירות ישירות</t>
        </is>
      </c>
      <c r="E50" s="11" t="inlineStr">
        <is>
          <t>עלות המכר</t>
        </is>
      </c>
      <c r="F50" s="11" t="inlineStr">
        <is>
          <t>עלות המכר</t>
        </is>
      </c>
      <c r="G50" s="12" t="n">
        <v>336630</v>
      </c>
    </row>
    <row r="51">
      <c r="A51" s="10" t="n">
        <v>46075</v>
      </c>
      <c r="B51" s="11" t="inlineStr">
        <is>
          <t>J41047</t>
        </is>
      </c>
      <c r="C51" s="11" t="n">
        <v>2</v>
      </c>
      <c r="D51" s="11" t="inlineStr">
        <is>
          <t>ערוץ מפיצים</t>
        </is>
      </c>
      <c r="E51" s="11" t="inlineStr">
        <is>
          <t>עלות המכר</t>
        </is>
      </c>
      <c r="F51" s="11" t="inlineStr">
        <is>
          <t>עלות המכר</t>
        </is>
      </c>
      <c r="G51" s="12" t="n">
        <v>178895</v>
      </c>
    </row>
    <row r="52">
      <c r="A52" s="10" t="n">
        <v>46077</v>
      </c>
      <c r="B52" s="11" t="inlineStr">
        <is>
          <t>J41048</t>
        </is>
      </c>
      <c r="C52" s="11" t="n">
        <v>2</v>
      </c>
      <c r="D52" s="11" t="inlineStr">
        <is>
          <t>שירות ותמיכה</t>
        </is>
      </c>
      <c r="E52" s="11" t="inlineStr">
        <is>
          <t>עלות המכר</t>
        </is>
      </c>
      <c r="F52" s="11" t="inlineStr">
        <is>
          <t>עלות המכר</t>
        </is>
      </c>
      <c r="G52" s="12" t="n">
        <v>93629</v>
      </c>
    </row>
    <row r="53">
      <c r="A53" s="10" t="n">
        <v>46062</v>
      </c>
      <c r="B53" s="11" t="inlineStr">
        <is>
          <t>J41049</t>
        </is>
      </c>
      <c r="C53" s="11" t="n">
        <v>2</v>
      </c>
      <c r="D53" s="11" t="inlineStr">
        <is>
          <t>מכירות ישירות</t>
        </is>
      </c>
      <c r="E53" s="11" t="inlineStr">
        <is>
          <t>הוצאות תפעול</t>
        </is>
      </c>
      <c r="F53" s="11" t="inlineStr">
        <is>
          <t>שכר ונלוות</t>
        </is>
      </c>
      <c r="G53" s="12" t="n">
        <v>79259</v>
      </c>
    </row>
    <row r="54">
      <c r="A54" s="10" t="n">
        <v>46077</v>
      </c>
      <c r="B54" s="11" t="inlineStr">
        <is>
          <t>J41050</t>
        </is>
      </c>
      <c r="C54" s="11" t="n">
        <v>2</v>
      </c>
      <c r="D54" s="11" t="inlineStr">
        <is>
          <t>ערוץ מפיצים</t>
        </is>
      </c>
      <c r="E54" s="11" t="inlineStr">
        <is>
          <t>הוצאות תפעול</t>
        </is>
      </c>
      <c r="F54" s="11" t="inlineStr">
        <is>
          <t>שכר ונלוות</t>
        </is>
      </c>
      <c r="G54" s="12" t="n">
        <v>41793</v>
      </c>
    </row>
    <row r="55">
      <c r="A55" s="10" t="n">
        <v>46071</v>
      </c>
      <c r="B55" s="11" t="inlineStr">
        <is>
          <t>J41051</t>
        </is>
      </c>
      <c r="C55" s="11" t="n">
        <v>2</v>
      </c>
      <c r="D55" s="11" t="inlineStr">
        <is>
          <t>שירות ותמיכה</t>
        </is>
      </c>
      <c r="E55" s="11" t="inlineStr">
        <is>
          <t>הוצאות תפעול</t>
        </is>
      </c>
      <c r="F55" s="11" t="inlineStr">
        <is>
          <t>שכר ונלוות</t>
        </is>
      </c>
      <c r="G55" s="12" t="n">
        <v>20135</v>
      </c>
    </row>
    <row r="56">
      <c r="A56" s="10" t="n">
        <v>46076</v>
      </c>
      <c r="B56" s="11" t="inlineStr">
        <is>
          <t>J41052</t>
        </is>
      </c>
      <c r="C56" s="11" t="n">
        <v>2</v>
      </c>
      <c r="D56" s="11" t="inlineStr">
        <is>
          <t>מכירות ישירות</t>
        </is>
      </c>
      <c r="E56" s="11" t="inlineStr">
        <is>
          <t>הוצאות תפעול</t>
        </is>
      </c>
      <c r="F56" s="11" t="inlineStr">
        <is>
          <t>שכר דירה ואחזקה</t>
        </is>
      </c>
      <c r="G56" s="12" t="n">
        <v>10082</v>
      </c>
    </row>
    <row r="57">
      <c r="A57" s="10" t="n">
        <v>46074</v>
      </c>
      <c r="B57" s="11" t="inlineStr">
        <is>
          <t>J41053</t>
        </is>
      </c>
      <c r="C57" s="11" t="n">
        <v>2</v>
      </c>
      <c r="D57" s="11" t="inlineStr">
        <is>
          <t>ערוץ מפיצים</t>
        </is>
      </c>
      <c r="E57" s="11" t="inlineStr">
        <is>
          <t>הוצאות תפעול</t>
        </is>
      </c>
      <c r="F57" s="11" t="inlineStr">
        <is>
          <t>שכר דירה ואחזקה</t>
        </is>
      </c>
      <c r="G57" s="12" t="n">
        <v>8723</v>
      </c>
    </row>
    <row r="58">
      <c r="A58" s="10" t="n">
        <v>46068</v>
      </c>
      <c r="B58" s="11" t="inlineStr">
        <is>
          <t>J41054</t>
        </is>
      </c>
      <c r="C58" s="11" t="n">
        <v>2</v>
      </c>
      <c r="D58" s="11" t="inlineStr">
        <is>
          <t>שירות ותמיכה</t>
        </is>
      </c>
      <c r="E58" s="11" t="inlineStr">
        <is>
          <t>הוצאות תפעול</t>
        </is>
      </c>
      <c r="F58" s="11" t="inlineStr">
        <is>
          <t>שכר דירה ואחזקה</t>
        </is>
      </c>
      <c r="G58" s="12" t="n">
        <v>8890</v>
      </c>
    </row>
    <row r="59">
      <c r="A59" s="10" t="n">
        <v>46064</v>
      </c>
      <c r="B59" s="11" t="inlineStr">
        <is>
          <t>J41055</t>
        </is>
      </c>
      <c r="C59" s="11" t="n">
        <v>2</v>
      </c>
      <c r="D59" s="11" t="inlineStr">
        <is>
          <t>מכירות ישירות</t>
        </is>
      </c>
      <c r="E59" s="11" t="inlineStr">
        <is>
          <t>הוצאות תפעול</t>
        </is>
      </c>
      <c r="F59" s="11" t="inlineStr">
        <is>
          <t>הוצאות רכב</t>
        </is>
      </c>
      <c r="G59" s="12" t="n">
        <v>9818</v>
      </c>
    </row>
    <row r="60">
      <c r="A60" s="10" t="n">
        <v>46056</v>
      </c>
      <c r="B60" s="11" t="inlineStr">
        <is>
          <t>J41056</t>
        </is>
      </c>
      <c r="C60" s="11" t="n">
        <v>2</v>
      </c>
      <c r="D60" s="11" t="inlineStr">
        <is>
          <t>ערוץ מפיצים</t>
        </is>
      </c>
      <c r="E60" s="11" t="inlineStr">
        <is>
          <t>הוצאות תפעול</t>
        </is>
      </c>
      <c r="F60" s="11" t="inlineStr">
        <is>
          <t>הוצאות רכב</t>
        </is>
      </c>
      <c r="G60" s="12" t="n">
        <v>4978</v>
      </c>
    </row>
    <row r="61">
      <c r="A61" s="10" t="n">
        <v>46062</v>
      </c>
      <c r="B61" s="11" t="inlineStr">
        <is>
          <t>J41057</t>
        </is>
      </c>
      <c r="C61" s="11" t="n">
        <v>2</v>
      </c>
      <c r="D61" s="11" t="inlineStr">
        <is>
          <t>שירות ותמיכה</t>
        </is>
      </c>
      <c r="E61" s="11" t="inlineStr">
        <is>
          <t>הוצאות תפעול</t>
        </is>
      </c>
      <c r="F61" s="11" t="inlineStr">
        <is>
          <t>הוצאות רכב</t>
        </is>
      </c>
      <c r="G61" s="12" t="n">
        <v>2853</v>
      </c>
    </row>
    <row r="62">
      <c r="A62" s="10" t="n">
        <v>46072</v>
      </c>
      <c r="B62" s="11" t="inlineStr">
        <is>
          <t>J41058</t>
        </is>
      </c>
      <c r="C62" s="11" t="n">
        <v>2</v>
      </c>
      <c r="D62" s="11" t="inlineStr">
        <is>
          <t>מכירות ישירות</t>
        </is>
      </c>
      <c r="E62" s="11" t="inlineStr">
        <is>
          <t>הוצאות תפעול</t>
        </is>
      </c>
      <c r="F62" s="11" t="inlineStr">
        <is>
          <t>פרסום ושיווק</t>
        </is>
      </c>
      <c r="G62" s="12" t="n">
        <v>16759</v>
      </c>
    </row>
    <row r="63">
      <c r="A63" s="10" t="n">
        <v>46068</v>
      </c>
      <c r="B63" s="11" t="inlineStr">
        <is>
          <t>J41059</t>
        </is>
      </c>
      <c r="C63" s="11" t="n">
        <v>2</v>
      </c>
      <c r="D63" s="11" t="inlineStr">
        <is>
          <t>ערוץ מפיצים</t>
        </is>
      </c>
      <c r="E63" s="11" t="inlineStr">
        <is>
          <t>הוצאות תפעול</t>
        </is>
      </c>
      <c r="F63" s="11" t="inlineStr">
        <is>
          <t>פרסום ושיווק</t>
        </is>
      </c>
      <c r="G63" s="12" t="n">
        <v>9390</v>
      </c>
    </row>
    <row r="64">
      <c r="A64" s="10" t="n">
        <v>46079</v>
      </c>
      <c r="B64" s="11" t="inlineStr">
        <is>
          <t>J41060</t>
        </is>
      </c>
      <c r="C64" s="11" t="n">
        <v>2</v>
      </c>
      <c r="D64" s="11" t="inlineStr">
        <is>
          <t>שירות ותמיכה</t>
        </is>
      </c>
      <c r="E64" s="11" t="inlineStr">
        <is>
          <t>הוצאות תפעול</t>
        </is>
      </c>
      <c r="F64" s="11" t="inlineStr">
        <is>
          <t>פרסום ושיווק</t>
        </is>
      </c>
      <c r="G64" s="12" t="n">
        <v>4483</v>
      </c>
    </row>
    <row r="65">
      <c r="A65" s="10" t="n">
        <v>46071</v>
      </c>
      <c r="B65" s="11" t="inlineStr">
        <is>
          <t>J41061</t>
        </is>
      </c>
      <c r="C65" s="11" t="n">
        <v>2</v>
      </c>
      <c r="D65" s="11" t="inlineStr">
        <is>
          <t>מכירות ישירות</t>
        </is>
      </c>
      <c r="E65" s="11" t="inlineStr">
        <is>
          <t>הוצאות תפעול</t>
        </is>
      </c>
      <c r="F65" s="11" t="inlineStr">
        <is>
          <t>כיבודים ואירוח</t>
        </is>
      </c>
      <c r="G65" s="12" t="n">
        <v>2367</v>
      </c>
    </row>
    <row r="66">
      <c r="A66" s="10" t="n">
        <v>46060</v>
      </c>
      <c r="B66" s="11" t="inlineStr">
        <is>
          <t>J41062</t>
        </is>
      </c>
      <c r="C66" s="11" t="n">
        <v>2</v>
      </c>
      <c r="D66" s="11" t="inlineStr">
        <is>
          <t>ערוץ מפיצים</t>
        </is>
      </c>
      <c r="E66" s="11" t="inlineStr">
        <is>
          <t>הוצאות תפעול</t>
        </is>
      </c>
      <c r="F66" s="11" t="inlineStr">
        <is>
          <t>כיבודים ואירוח</t>
        </is>
      </c>
      <c r="G66" s="12" t="n">
        <v>1339</v>
      </c>
    </row>
    <row r="67">
      <c r="A67" s="10" t="n">
        <v>46078</v>
      </c>
      <c r="B67" s="11" t="inlineStr">
        <is>
          <t>J41063</t>
        </is>
      </c>
      <c r="C67" s="11" t="n">
        <v>2</v>
      </c>
      <c r="D67" s="11" t="inlineStr">
        <is>
          <t>שירות ותמיכה</t>
        </is>
      </c>
      <c r="E67" s="11" t="inlineStr">
        <is>
          <t>הוצאות תפעול</t>
        </is>
      </c>
      <c r="F67" s="11" t="inlineStr">
        <is>
          <t>כיבודים ואירוח</t>
        </is>
      </c>
      <c r="G67" s="12" t="n">
        <v>706</v>
      </c>
    </row>
    <row r="68">
      <c r="A68" s="10" t="n">
        <v>46076</v>
      </c>
      <c r="B68" s="11" t="inlineStr">
        <is>
          <t>J41064</t>
        </is>
      </c>
      <c r="C68" s="11" t="n">
        <v>2</v>
      </c>
      <c r="D68" s="11" t="inlineStr">
        <is>
          <t>מכירות ישירות</t>
        </is>
      </c>
      <c r="E68" s="11" t="inlineStr">
        <is>
          <t>הוצאות תפעול</t>
        </is>
      </c>
      <c r="F68" s="11" t="inlineStr">
        <is>
          <t>הוצאות משרד</t>
        </is>
      </c>
      <c r="G68" s="12" t="n">
        <v>5274</v>
      </c>
    </row>
    <row r="69">
      <c r="A69" s="10" t="n">
        <v>46064</v>
      </c>
      <c r="B69" s="11" t="inlineStr">
        <is>
          <t>J41065</t>
        </is>
      </c>
      <c r="C69" s="11" t="n">
        <v>2</v>
      </c>
      <c r="D69" s="11" t="inlineStr">
        <is>
          <t>ערוץ מפיצים</t>
        </is>
      </c>
      <c r="E69" s="11" t="inlineStr">
        <is>
          <t>הוצאות תפעול</t>
        </is>
      </c>
      <c r="F69" s="11" t="inlineStr">
        <is>
          <t>הוצאות משרד</t>
        </is>
      </c>
      <c r="G69" s="12" t="n">
        <v>2657</v>
      </c>
    </row>
    <row r="70">
      <c r="A70" s="10" t="n">
        <v>46058</v>
      </c>
      <c r="B70" s="11" t="inlineStr">
        <is>
          <t>J41066</t>
        </is>
      </c>
      <c r="C70" s="11" t="n">
        <v>2</v>
      </c>
      <c r="D70" s="11" t="inlineStr">
        <is>
          <t>שירות ותמיכה</t>
        </is>
      </c>
      <c r="E70" s="11" t="inlineStr">
        <is>
          <t>הוצאות תפעול</t>
        </is>
      </c>
      <c r="F70" s="11" t="inlineStr">
        <is>
          <t>הוצאות משרד</t>
        </is>
      </c>
      <c r="G70" s="12" t="n">
        <v>1226</v>
      </c>
    </row>
    <row r="71">
      <c r="A71" s="10" t="n">
        <v>46061</v>
      </c>
      <c r="B71" s="11" t="inlineStr">
        <is>
          <t>J41067</t>
        </is>
      </c>
      <c r="C71" s="11" t="n">
        <v>2</v>
      </c>
      <c r="D71" s="11" t="inlineStr">
        <is>
          <t>מכירות ישירות</t>
        </is>
      </c>
      <c r="E71" s="11" t="inlineStr">
        <is>
          <t>הוצאות תפעול</t>
        </is>
      </c>
      <c r="F71" s="11" t="inlineStr">
        <is>
          <t>עמלות סליקה</t>
        </is>
      </c>
      <c r="G71" s="12" t="n">
        <v>6019</v>
      </c>
    </row>
    <row r="72">
      <c r="A72" s="10" t="n">
        <v>46075</v>
      </c>
      <c r="B72" s="11" t="inlineStr">
        <is>
          <t>J41068</t>
        </is>
      </c>
      <c r="C72" s="11" t="n">
        <v>2</v>
      </c>
      <c r="D72" s="11" t="inlineStr">
        <is>
          <t>ערוץ מפיצים</t>
        </is>
      </c>
      <c r="E72" s="11" t="inlineStr">
        <is>
          <t>הוצאות תפעול</t>
        </is>
      </c>
      <c r="F72" s="11" t="inlineStr">
        <is>
          <t>עמלות סליקה</t>
        </is>
      </c>
      <c r="G72" s="12" t="n">
        <v>2961</v>
      </c>
    </row>
    <row r="73">
      <c r="A73" s="10" t="n">
        <v>46062</v>
      </c>
      <c r="B73" s="11" t="inlineStr">
        <is>
          <t>J41069</t>
        </is>
      </c>
      <c r="C73" s="11" t="n">
        <v>2</v>
      </c>
      <c r="D73" s="11" t="inlineStr">
        <is>
          <t>שירות ותמיכה</t>
        </is>
      </c>
      <c r="E73" s="11" t="inlineStr">
        <is>
          <t>הוצאות תפעול</t>
        </is>
      </c>
      <c r="F73" s="11" t="inlineStr">
        <is>
          <t>עמלות סליקה</t>
        </is>
      </c>
      <c r="G73" s="12" t="n">
        <v>1595</v>
      </c>
    </row>
    <row r="74">
      <c r="A74" s="10" t="n">
        <v>46062</v>
      </c>
      <c r="B74" s="11" t="inlineStr">
        <is>
          <t>J41070</t>
        </is>
      </c>
      <c r="C74" s="11" t="n">
        <v>2</v>
      </c>
      <c r="D74" s="11" t="inlineStr">
        <is>
          <t>מכירות ישירות</t>
        </is>
      </c>
      <c r="E74" s="11" t="inlineStr">
        <is>
          <t>הוצאות תפעול</t>
        </is>
      </c>
      <c r="F74" s="11" t="inlineStr">
        <is>
          <t>ייעוץ מקצועי</t>
        </is>
      </c>
      <c r="G74" s="12" t="n">
        <v>6470</v>
      </c>
    </row>
    <row r="75">
      <c r="A75" s="10" t="n">
        <v>46056</v>
      </c>
      <c r="B75" s="11" t="inlineStr">
        <is>
          <t>J41071</t>
        </is>
      </c>
      <c r="C75" s="11" t="n">
        <v>2</v>
      </c>
      <c r="D75" s="11" t="inlineStr">
        <is>
          <t>ערוץ מפיצים</t>
        </is>
      </c>
      <c r="E75" s="11" t="inlineStr">
        <is>
          <t>הוצאות תפעול</t>
        </is>
      </c>
      <c r="F75" s="11" t="inlineStr">
        <is>
          <t>ייעוץ מקצועי</t>
        </is>
      </c>
      <c r="G75" s="12" t="n">
        <v>3525</v>
      </c>
    </row>
    <row r="76">
      <c r="A76" s="10" t="n">
        <v>46080</v>
      </c>
      <c r="B76" s="11" t="inlineStr">
        <is>
          <t>J41072</t>
        </is>
      </c>
      <c r="C76" s="11" t="n">
        <v>2</v>
      </c>
      <c r="D76" s="11" t="inlineStr">
        <is>
          <t>שירות ותמיכה</t>
        </is>
      </c>
      <c r="E76" s="11" t="inlineStr">
        <is>
          <t>הוצאות תפעול</t>
        </is>
      </c>
      <c r="F76" s="11" t="inlineStr">
        <is>
          <t>ייעוץ מקצועי</t>
        </is>
      </c>
      <c r="G76" s="12" t="n">
        <v>1877</v>
      </c>
    </row>
    <row r="77">
      <c r="A77" s="10" t="n">
        <v>46062</v>
      </c>
      <c r="B77" s="11" t="inlineStr">
        <is>
          <t>J41073</t>
        </is>
      </c>
      <c r="C77" s="11" t="n">
        <v>2</v>
      </c>
      <c r="D77" s="11" t="inlineStr">
        <is>
          <t>מכירות ישירות</t>
        </is>
      </c>
      <c r="E77" s="11" t="inlineStr">
        <is>
          <t>הוצאות תפעול</t>
        </is>
      </c>
      <c r="F77" s="11" t="inlineStr">
        <is>
          <t>פחת</t>
        </is>
      </c>
      <c r="G77" s="12" t="n">
        <v>4658</v>
      </c>
    </row>
    <row r="78">
      <c r="A78" s="10" t="n">
        <v>46059</v>
      </c>
      <c r="B78" s="11" t="inlineStr">
        <is>
          <t>J41074</t>
        </is>
      </c>
      <c r="C78" s="11" t="n">
        <v>2</v>
      </c>
      <c r="D78" s="11" t="inlineStr">
        <is>
          <t>ערוץ מפיצים</t>
        </is>
      </c>
      <c r="E78" s="11" t="inlineStr">
        <is>
          <t>הוצאות תפעול</t>
        </is>
      </c>
      <c r="F78" s="11" t="inlineStr">
        <is>
          <t>פחת</t>
        </is>
      </c>
      <c r="G78" s="12" t="n">
        <v>4044</v>
      </c>
    </row>
    <row r="79">
      <c r="A79" s="10" t="n">
        <v>46075</v>
      </c>
      <c r="B79" s="11" t="inlineStr">
        <is>
          <t>J41075</t>
        </is>
      </c>
      <c r="C79" s="11" t="n">
        <v>2</v>
      </c>
      <c r="D79" s="11" t="inlineStr">
        <is>
          <t>שירות ותמיכה</t>
        </is>
      </c>
      <c r="E79" s="11" t="inlineStr">
        <is>
          <t>הוצאות תפעול</t>
        </is>
      </c>
      <c r="F79" s="11" t="inlineStr">
        <is>
          <t>פחת</t>
        </is>
      </c>
      <c r="G79" s="12" t="n">
        <v>3992</v>
      </c>
    </row>
    <row r="80">
      <c r="A80" s="10" t="n">
        <v>46068</v>
      </c>
      <c r="B80" s="11" t="inlineStr">
        <is>
          <t>J41076</t>
        </is>
      </c>
      <c r="C80" s="11" t="n">
        <v>2</v>
      </c>
      <c r="D80" s="11" t="inlineStr">
        <is>
          <t>מכירות ישירות</t>
        </is>
      </c>
      <c r="E80" s="11" t="inlineStr">
        <is>
          <t>הוצאות תפעול</t>
        </is>
      </c>
      <c r="F80" s="11" t="inlineStr">
        <is>
          <t>הוצאות מימון</t>
        </is>
      </c>
      <c r="G80" s="12" t="n">
        <v>2426</v>
      </c>
    </row>
    <row r="81">
      <c r="A81" s="10" t="n">
        <v>46070</v>
      </c>
      <c r="B81" s="11" t="inlineStr">
        <is>
          <t>J41077</t>
        </is>
      </c>
      <c r="C81" s="11" t="n">
        <v>2</v>
      </c>
      <c r="D81" s="11" t="inlineStr">
        <is>
          <t>ערוץ מפיצים</t>
        </is>
      </c>
      <c r="E81" s="11" t="inlineStr">
        <is>
          <t>הוצאות תפעול</t>
        </is>
      </c>
      <c r="F81" s="11" t="inlineStr">
        <is>
          <t>הוצאות מימון</t>
        </is>
      </c>
      <c r="G81" s="12" t="n">
        <v>2240</v>
      </c>
    </row>
    <row r="82">
      <c r="A82" s="10" t="n">
        <v>46066</v>
      </c>
      <c r="B82" s="11" t="inlineStr">
        <is>
          <t>J41078</t>
        </is>
      </c>
      <c r="C82" s="11" t="n">
        <v>2</v>
      </c>
      <c r="D82" s="11" t="inlineStr">
        <is>
          <t>שירות ותמיכה</t>
        </is>
      </c>
      <c r="E82" s="11" t="inlineStr">
        <is>
          <t>הוצאות תפעול</t>
        </is>
      </c>
      <c r="F82" s="11" t="inlineStr">
        <is>
          <t>הוצאות מימון</t>
        </is>
      </c>
      <c r="G82" s="12" t="n">
        <v>2071</v>
      </c>
    </row>
    <row r="83">
      <c r="A83" s="10" t="n">
        <v>46096</v>
      </c>
      <c r="B83" s="11" t="inlineStr">
        <is>
          <t>J41079</t>
        </is>
      </c>
      <c r="C83" s="11" t="n">
        <v>3</v>
      </c>
      <c r="D83" s="11" t="inlineStr">
        <is>
          <t>מכירות ישירות</t>
        </is>
      </c>
      <c r="E83" s="11" t="inlineStr">
        <is>
          <t>הכנסות</t>
        </is>
      </c>
      <c r="F83" s="11" t="inlineStr">
        <is>
          <t>הכנסות ממכירות</t>
        </is>
      </c>
      <c r="G83" s="12" t="n">
        <v>617347</v>
      </c>
    </row>
    <row r="84">
      <c r="A84" s="10" t="n">
        <v>46084</v>
      </c>
      <c r="B84" s="11" t="inlineStr">
        <is>
          <t>J41080</t>
        </is>
      </c>
      <c r="C84" s="11" t="n">
        <v>3</v>
      </c>
      <c r="D84" s="11" t="inlineStr">
        <is>
          <t>ערוץ מפיצים</t>
        </is>
      </c>
      <c r="E84" s="11" t="inlineStr">
        <is>
          <t>הכנסות</t>
        </is>
      </c>
      <c r="F84" s="11" t="inlineStr">
        <is>
          <t>הכנסות ממכירות</t>
        </is>
      </c>
      <c r="G84" s="12" t="n">
        <v>304330</v>
      </c>
    </row>
    <row r="85">
      <c r="A85" s="10" t="n">
        <v>46085</v>
      </c>
      <c r="B85" s="11" t="inlineStr">
        <is>
          <t>J41081</t>
        </is>
      </c>
      <c r="C85" s="11" t="n">
        <v>3</v>
      </c>
      <c r="D85" s="11" t="inlineStr">
        <is>
          <t>שירות ותמיכה</t>
        </is>
      </c>
      <c r="E85" s="11" t="inlineStr">
        <is>
          <t>הכנסות</t>
        </is>
      </c>
      <c r="F85" s="11" t="inlineStr">
        <is>
          <t>הכנסות ממכירות</t>
        </is>
      </c>
      <c r="G85" s="12" t="n">
        <v>151277</v>
      </c>
    </row>
    <row r="86">
      <c r="A86" s="10" t="n">
        <v>46084</v>
      </c>
      <c r="B86" s="11" t="inlineStr">
        <is>
          <t>J41082</t>
        </is>
      </c>
      <c r="C86" s="11" t="n">
        <v>3</v>
      </c>
      <c r="D86" s="11" t="inlineStr">
        <is>
          <t>מכירות ישירות</t>
        </is>
      </c>
      <c r="E86" s="11" t="inlineStr">
        <is>
          <t>הכנסות</t>
        </is>
      </c>
      <c r="F86" s="11" t="inlineStr">
        <is>
          <t>הכנסות משירות</t>
        </is>
      </c>
      <c r="G86" s="12" t="n">
        <v>4522</v>
      </c>
    </row>
    <row r="87">
      <c r="A87" s="10" t="n">
        <v>46098</v>
      </c>
      <c r="B87" s="11" t="inlineStr">
        <is>
          <t>J41083</t>
        </is>
      </c>
      <c r="C87" s="11" t="n">
        <v>3</v>
      </c>
      <c r="D87" s="11" t="inlineStr">
        <is>
          <t>ערוץ מפיצים</t>
        </is>
      </c>
      <c r="E87" s="11" t="inlineStr">
        <is>
          <t>הכנסות</t>
        </is>
      </c>
      <c r="F87" s="11" t="inlineStr">
        <is>
          <t>הכנסות משירות</t>
        </is>
      </c>
      <c r="G87" s="12" t="n">
        <v>5204</v>
      </c>
    </row>
    <row r="88">
      <c r="A88" s="10" t="n">
        <v>46083</v>
      </c>
      <c r="B88" s="11" t="inlineStr">
        <is>
          <t>J41084</t>
        </is>
      </c>
      <c r="C88" s="11" t="n">
        <v>3</v>
      </c>
      <c r="D88" s="11" t="inlineStr">
        <is>
          <t>שירות ותמיכה</t>
        </is>
      </c>
      <c r="E88" s="11" t="inlineStr">
        <is>
          <t>הכנסות</t>
        </is>
      </c>
      <c r="F88" s="11" t="inlineStr">
        <is>
          <t>הכנסות משירות</t>
        </is>
      </c>
      <c r="G88" s="12" t="n">
        <v>81097</v>
      </c>
    </row>
    <row r="89">
      <c r="A89" s="10" t="n">
        <v>46102</v>
      </c>
      <c r="B89" s="11" t="inlineStr">
        <is>
          <t>J41085</t>
        </is>
      </c>
      <c r="C89" s="11" t="n">
        <v>3</v>
      </c>
      <c r="D89" s="11" t="inlineStr">
        <is>
          <t>מכירות ישירות</t>
        </is>
      </c>
      <c r="E89" s="11" t="inlineStr">
        <is>
          <t>עלות המכר</t>
        </is>
      </c>
      <c r="F89" s="11" t="inlineStr">
        <is>
          <t>עלות המכר</t>
        </is>
      </c>
      <c r="G89" s="12" t="n">
        <v>430362</v>
      </c>
    </row>
    <row r="90">
      <c r="A90" s="10" t="n">
        <v>46089</v>
      </c>
      <c r="B90" s="11" t="inlineStr">
        <is>
          <t>J41086</t>
        </is>
      </c>
      <c r="C90" s="11" t="n">
        <v>3</v>
      </c>
      <c r="D90" s="11" t="inlineStr">
        <is>
          <t>ערוץ מפיצים</t>
        </is>
      </c>
      <c r="E90" s="11" t="inlineStr">
        <is>
          <t>עלות המכר</t>
        </is>
      </c>
      <c r="F90" s="11" t="inlineStr">
        <is>
          <t>עלות המכר</t>
        </is>
      </c>
      <c r="G90" s="12" t="n">
        <v>232846</v>
      </c>
    </row>
    <row r="91">
      <c r="A91" s="10" t="n">
        <v>46103</v>
      </c>
      <c r="B91" s="11" t="inlineStr">
        <is>
          <t>J41087</t>
        </is>
      </c>
      <c r="C91" s="11" t="n">
        <v>3</v>
      </c>
      <c r="D91" s="11" t="inlineStr">
        <is>
          <t>שירות ותמיכה</t>
        </is>
      </c>
      <c r="E91" s="11" t="inlineStr">
        <is>
          <t>עלות המכר</t>
        </is>
      </c>
      <c r="F91" s="11" t="inlineStr">
        <is>
          <t>עלות המכר</t>
        </is>
      </c>
      <c r="G91" s="12" t="n">
        <v>106333</v>
      </c>
    </row>
    <row r="92">
      <c r="A92" s="10" t="n">
        <v>46092</v>
      </c>
      <c r="B92" s="11" t="inlineStr">
        <is>
          <t>J41088</t>
        </is>
      </c>
      <c r="C92" s="11" t="n">
        <v>3</v>
      </c>
      <c r="D92" s="11" t="inlineStr">
        <is>
          <t>מכירות ישירות</t>
        </is>
      </c>
      <c r="E92" s="11" t="inlineStr">
        <is>
          <t>הוצאות תפעול</t>
        </is>
      </c>
      <c r="F92" s="11" t="inlineStr">
        <is>
          <t>שכר ונלוות</t>
        </is>
      </c>
      <c r="G92" s="12" t="n">
        <v>91989</v>
      </c>
    </row>
    <row r="93">
      <c r="A93" s="10" t="n">
        <v>46100</v>
      </c>
      <c r="B93" s="11" t="inlineStr">
        <is>
          <t>J41089</t>
        </is>
      </c>
      <c r="C93" s="11" t="n">
        <v>3</v>
      </c>
      <c r="D93" s="11" t="inlineStr">
        <is>
          <t>ערוץ מפיצים</t>
        </is>
      </c>
      <c r="E93" s="11" t="inlineStr">
        <is>
          <t>הוצאות תפעול</t>
        </is>
      </c>
      <c r="F93" s="11" t="inlineStr">
        <is>
          <t>שכר ונלוות</t>
        </is>
      </c>
      <c r="G93" s="12" t="n">
        <v>51684</v>
      </c>
    </row>
    <row r="94">
      <c r="A94" s="10" t="n">
        <v>46106</v>
      </c>
      <c r="B94" s="11" t="inlineStr">
        <is>
          <t>J41090</t>
        </is>
      </c>
      <c r="C94" s="11" t="n">
        <v>3</v>
      </c>
      <c r="D94" s="11" t="inlineStr">
        <is>
          <t>שירות ותמיכה</t>
        </is>
      </c>
      <c r="E94" s="11" t="inlineStr">
        <is>
          <t>הוצאות תפעול</t>
        </is>
      </c>
      <c r="F94" s="11" t="inlineStr">
        <is>
          <t>שכר ונלוות</t>
        </is>
      </c>
      <c r="G94" s="12" t="n">
        <v>24619</v>
      </c>
    </row>
    <row r="95">
      <c r="A95" s="10" t="n">
        <v>46108</v>
      </c>
      <c r="B95" s="11" t="inlineStr">
        <is>
          <t>J41091</t>
        </is>
      </c>
      <c r="C95" s="11" t="n">
        <v>3</v>
      </c>
      <c r="D95" s="11" t="inlineStr">
        <is>
          <t>מכירות ישירות</t>
        </is>
      </c>
      <c r="E95" s="11" t="inlineStr">
        <is>
          <t>הוצאות תפעול</t>
        </is>
      </c>
      <c r="F95" s="11" t="inlineStr">
        <is>
          <t>שכר דירה ואחזקה</t>
        </is>
      </c>
      <c r="G95" s="12" t="n">
        <v>12610</v>
      </c>
    </row>
    <row r="96">
      <c r="A96" s="10" t="n">
        <v>46099</v>
      </c>
      <c r="B96" s="11" t="inlineStr">
        <is>
          <t>J41092</t>
        </is>
      </c>
      <c r="C96" s="11" t="n">
        <v>3</v>
      </c>
      <c r="D96" s="11" t="inlineStr">
        <is>
          <t>ערוץ מפיצים</t>
        </is>
      </c>
      <c r="E96" s="11" t="inlineStr">
        <is>
          <t>הוצאות תפעול</t>
        </is>
      </c>
      <c r="F96" s="11" t="inlineStr">
        <is>
          <t>שכר דירה ואחזקה</t>
        </is>
      </c>
      <c r="G96" s="12" t="n">
        <v>11433</v>
      </c>
    </row>
    <row r="97">
      <c r="A97" s="10" t="n">
        <v>46092</v>
      </c>
      <c r="B97" s="11" t="inlineStr">
        <is>
          <t>J41093</t>
        </is>
      </c>
      <c r="C97" s="11" t="n">
        <v>3</v>
      </c>
      <c r="D97" s="11" t="inlineStr">
        <is>
          <t>שירות ותמיכה</t>
        </is>
      </c>
      <c r="E97" s="11" t="inlineStr">
        <is>
          <t>הוצאות תפעול</t>
        </is>
      </c>
      <c r="F97" s="11" t="inlineStr">
        <is>
          <t>שכר דירה ואחזקה</t>
        </is>
      </c>
      <c r="G97" s="12" t="n">
        <v>12018</v>
      </c>
    </row>
    <row r="98">
      <c r="A98" s="10" t="n">
        <v>46084</v>
      </c>
      <c r="B98" s="11" t="inlineStr">
        <is>
          <t>J41094</t>
        </is>
      </c>
      <c r="C98" s="11" t="n">
        <v>3</v>
      </c>
      <c r="D98" s="11" t="inlineStr">
        <is>
          <t>מכירות ישירות</t>
        </is>
      </c>
      <c r="E98" s="11" t="inlineStr">
        <is>
          <t>הוצאות תפעול</t>
        </is>
      </c>
      <c r="F98" s="11" t="inlineStr">
        <is>
          <t>הוצאות רכב</t>
        </is>
      </c>
      <c r="G98" s="12" t="n">
        <v>12225</v>
      </c>
    </row>
    <row r="99">
      <c r="A99" s="10" t="n">
        <v>46089</v>
      </c>
      <c r="B99" s="11" t="inlineStr">
        <is>
          <t>J41095</t>
        </is>
      </c>
      <c r="C99" s="11" t="n">
        <v>3</v>
      </c>
      <c r="D99" s="11" t="inlineStr">
        <is>
          <t>ערוץ מפיצים</t>
        </is>
      </c>
      <c r="E99" s="11" t="inlineStr">
        <is>
          <t>הוצאות תפעול</t>
        </is>
      </c>
      <c r="F99" s="11" t="inlineStr">
        <is>
          <t>הוצאות רכב</t>
        </is>
      </c>
      <c r="G99" s="12" t="n">
        <v>6858</v>
      </c>
    </row>
    <row r="100">
      <c r="A100" s="10" t="n">
        <v>46084</v>
      </c>
      <c r="B100" s="11" t="inlineStr">
        <is>
          <t>J41096</t>
        </is>
      </c>
      <c r="C100" s="11" t="n">
        <v>3</v>
      </c>
      <c r="D100" s="11" t="inlineStr">
        <is>
          <t>שירות ותמיכה</t>
        </is>
      </c>
      <c r="E100" s="11" t="inlineStr">
        <is>
          <t>הוצאות תפעול</t>
        </is>
      </c>
      <c r="F100" s="11" t="inlineStr">
        <is>
          <t>הוצאות רכב</t>
        </is>
      </c>
      <c r="G100" s="12" t="n">
        <v>3410</v>
      </c>
    </row>
    <row r="101">
      <c r="A101" s="10" t="n">
        <v>46107</v>
      </c>
      <c r="B101" s="11" t="inlineStr">
        <is>
          <t>J41097</t>
        </is>
      </c>
      <c r="C101" s="11" t="n">
        <v>3</v>
      </c>
      <c r="D101" s="11" t="inlineStr">
        <is>
          <t>מכירות ישירות</t>
        </is>
      </c>
      <c r="E101" s="11" t="inlineStr">
        <is>
          <t>הוצאות תפעול</t>
        </is>
      </c>
      <c r="F101" s="11" t="inlineStr">
        <is>
          <t>פרסום ושיווק</t>
        </is>
      </c>
      <c r="G101" s="12" t="n">
        <v>19125</v>
      </c>
    </row>
    <row r="102">
      <c r="A102" s="10" t="n">
        <v>46091</v>
      </c>
      <c r="B102" s="11" t="inlineStr">
        <is>
          <t>J41098</t>
        </is>
      </c>
      <c r="C102" s="11" t="n">
        <v>3</v>
      </c>
      <c r="D102" s="11" t="inlineStr">
        <is>
          <t>ערוץ מפיצים</t>
        </is>
      </c>
      <c r="E102" s="11" t="inlineStr">
        <is>
          <t>הוצאות תפעול</t>
        </is>
      </c>
      <c r="F102" s="11" t="inlineStr">
        <is>
          <t>פרסום ושיווק</t>
        </is>
      </c>
      <c r="G102" s="12" t="n">
        <v>11546</v>
      </c>
    </row>
    <row r="103">
      <c r="A103" s="10" t="n">
        <v>46100</v>
      </c>
      <c r="B103" s="11" t="inlineStr">
        <is>
          <t>J41099</t>
        </is>
      </c>
      <c r="C103" s="11" t="n">
        <v>3</v>
      </c>
      <c r="D103" s="11" t="inlineStr">
        <is>
          <t>שירות ותמיכה</t>
        </is>
      </c>
      <c r="E103" s="11" t="inlineStr">
        <is>
          <t>הוצאות תפעול</t>
        </is>
      </c>
      <c r="F103" s="11" t="inlineStr">
        <is>
          <t>פרסום ושיווק</t>
        </is>
      </c>
      <c r="G103" s="12" t="n">
        <v>6187</v>
      </c>
    </row>
    <row r="104">
      <c r="A104" s="10" t="n">
        <v>46103</v>
      </c>
      <c r="B104" s="11" t="inlineStr">
        <is>
          <t>J41100</t>
        </is>
      </c>
      <c r="C104" s="11" t="n">
        <v>3</v>
      </c>
      <c r="D104" s="11" t="inlineStr">
        <is>
          <t>מכירות ישירות</t>
        </is>
      </c>
      <c r="E104" s="11" t="inlineStr">
        <is>
          <t>הוצאות תפעול</t>
        </is>
      </c>
      <c r="F104" s="11" t="inlineStr">
        <is>
          <t>כיבודים ואירוח</t>
        </is>
      </c>
      <c r="G104" s="12" t="n">
        <v>3111</v>
      </c>
    </row>
    <row r="105">
      <c r="A105" s="10" t="n">
        <v>46092</v>
      </c>
      <c r="B105" s="11" t="inlineStr">
        <is>
          <t>J41101</t>
        </is>
      </c>
      <c r="C105" s="11" t="n">
        <v>3</v>
      </c>
      <c r="D105" s="11" t="inlineStr">
        <is>
          <t>ערוץ מפיצים</t>
        </is>
      </c>
      <c r="E105" s="11" t="inlineStr">
        <is>
          <t>הוצאות תפעול</t>
        </is>
      </c>
      <c r="F105" s="11" t="inlineStr">
        <is>
          <t>כיבודים ואירוח</t>
        </is>
      </c>
      <c r="G105" s="12" t="n">
        <v>1542</v>
      </c>
    </row>
    <row r="106">
      <c r="A106" s="10" t="n">
        <v>46097</v>
      </c>
      <c r="B106" s="11" t="inlineStr">
        <is>
          <t>J41102</t>
        </is>
      </c>
      <c r="C106" s="11" t="n">
        <v>3</v>
      </c>
      <c r="D106" s="11" t="inlineStr">
        <is>
          <t>שירות ותמיכה</t>
        </is>
      </c>
      <c r="E106" s="11" t="inlineStr">
        <is>
          <t>הוצאות תפעול</t>
        </is>
      </c>
      <c r="F106" s="11" t="inlineStr">
        <is>
          <t>כיבודים ואירוח</t>
        </is>
      </c>
      <c r="G106" s="12" t="n">
        <v>736</v>
      </c>
    </row>
    <row r="107">
      <c r="A107" s="10" t="n">
        <v>46098</v>
      </c>
      <c r="B107" s="11" t="inlineStr">
        <is>
          <t>J41103</t>
        </is>
      </c>
      <c r="C107" s="11" t="n">
        <v>3</v>
      </c>
      <c r="D107" s="11" t="inlineStr">
        <is>
          <t>מכירות ישירות</t>
        </is>
      </c>
      <c r="E107" s="11" t="inlineStr">
        <is>
          <t>הוצאות תפעול</t>
        </is>
      </c>
      <c r="F107" s="11" t="inlineStr">
        <is>
          <t>הוצאות משרד</t>
        </is>
      </c>
      <c r="G107" s="12" t="n">
        <v>6045</v>
      </c>
    </row>
    <row r="108">
      <c r="A108" s="10" t="n">
        <v>46084</v>
      </c>
      <c r="B108" s="11" t="inlineStr">
        <is>
          <t>J41104</t>
        </is>
      </c>
      <c r="C108" s="11" t="n">
        <v>3</v>
      </c>
      <c r="D108" s="11" t="inlineStr">
        <is>
          <t>ערוץ מפיצים</t>
        </is>
      </c>
      <c r="E108" s="11" t="inlineStr">
        <is>
          <t>הוצאות תפעול</t>
        </is>
      </c>
      <c r="F108" s="11" t="inlineStr">
        <is>
          <t>הוצאות משרד</t>
        </is>
      </c>
      <c r="G108" s="12" t="n">
        <v>3472</v>
      </c>
    </row>
    <row r="109">
      <c r="A109" s="10" t="n">
        <v>46097</v>
      </c>
      <c r="B109" s="11" t="inlineStr">
        <is>
          <t>J41105</t>
        </is>
      </c>
      <c r="C109" s="11" t="n">
        <v>3</v>
      </c>
      <c r="D109" s="11" t="inlineStr">
        <is>
          <t>שירות ותמיכה</t>
        </is>
      </c>
      <c r="E109" s="11" t="inlineStr">
        <is>
          <t>הוצאות תפעול</t>
        </is>
      </c>
      <c r="F109" s="11" t="inlineStr">
        <is>
          <t>הוצאות משרד</t>
        </is>
      </c>
      <c r="G109" s="12" t="n">
        <v>1625</v>
      </c>
    </row>
    <row r="110">
      <c r="A110" s="10" t="n">
        <v>46086</v>
      </c>
      <c r="B110" s="11" t="inlineStr">
        <is>
          <t>J41106</t>
        </is>
      </c>
      <c r="C110" s="11" t="n">
        <v>3</v>
      </c>
      <c r="D110" s="11" t="inlineStr">
        <is>
          <t>מכירות ישירות</t>
        </is>
      </c>
      <c r="E110" s="11" t="inlineStr">
        <is>
          <t>הוצאות תפעול</t>
        </is>
      </c>
      <c r="F110" s="11" t="inlineStr">
        <is>
          <t>עמלות סליקה</t>
        </is>
      </c>
      <c r="G110" s="12" t="n">
        <v>7516</v>
      </c>
    </row>
    <row r="111">
      <c r="A111" s="10" t="n">
        <v>46091</v>
      </c>
      <c r="B111" s="11" t="inlineStr">
        <is>
          <t>J41107</t>
        </is>
      </c>
      <c r="C111" s="11" t="n">
        <v>3</v>
      </c>
      <c r="D111" s="11" t="inlineStr">
        <is>
          <t>ערוץ מפיצים</t>
        </is>
      </c>
      <c r="E111" s="11" t="inlineStr">
        <is>
          <t>הוצאות תפעול</t>
        </is>
      </c>
      <c r="F111" s="11" t="inlineStr">
        <is>
          <t>עמלות סליקה</t>
        </is>
      </c>
      <c r="G111" s="12" t="n">
        <v>4182</v>
      </c>
    </row>
    <row r="112">
      <c r="A112" s="10" t="n">
        <v>46104</v>
      </c>
      <c r="B112" s="11" t="inlineStr">
        <is>
          <t>J41108</t>
        </is>
      </c>
      <c r="C112" s="11" t="n">
        <v>3</v>
      </c>
      <c r="D112" s="11" t="inlineStr">
        <is>
          <t>שירות ותמיכה</t>
        </is>
      </c>
      <c r="E112" s="11" t="inlineStr">
        <is>
          <t>הוצאות תפעול</t>
        </is>
      </c>
      <c r="F112" s="11" t="inlineStr">
        <is>
          <t>עמלות סליקה</t>
        </is>
      </c>
      <c r="G112" s="12" t="n">
        <v>2065</v>
      </c>
    </row>
    <row r="113">
      <c r="A113" s="10" t="n">
        <v>46102</v>
      </c>
      <c r="B113" s="11" t="inlineStr">
        <is>
          <t>J41109</t>
        </is>
      </c>
      <c r="C113" s="11" t="n">
        <v>3</v>
      </c>
      <c r="D113" s="11" t="inlineStr">
        <is>
          <t>מכירות ישירות</t>
        </is>
      </c>
      <c r="E113" s="11" t="inlineStr">
        <is>
          <t>הוצאות תפעול</t>
        </is>
      </c>
      <c r="F113" s="11" t="inlineStr">
        <is>
          <t>ייעוץ מקצועי</t>
        </is>
      </c>
      <c r="G113" s="12" t="n">
        <v>8073</v>
      </c>
    </row>
    <row r="114">
      <c r="A114" s="10" t="n">
        <v>46092</v>
      </c>
      <c r="B114" s="11" t="inlineStr">
        <is>
          <t>J41110</t>
        </is>
      </c>
      <c r="C114" s="11" t="n">
        <v>3</v>
      </c>
      <c r="D114" s="11" t="inlineStr">
        <is>
          <t>ערוץ מפיצים</t>
        </is>
      </c>
      <c r="E114" s="11" t="inlineStr">
        <is>
          <t>הוצאות תפעול</t>
        </is>
      </c>
      <c r="F114" s="11" t="inlineStr">
        <is>
          <t>ייעוץ מקצועי</t>
        </is>
      </c>
      <c r="G114" s="12" t="n">
        <v>4209</v>
      </c>
    </row>
    <row r="115">
      <c r="A115" s="10" t="n">
        <v>46108</v>
      </c>
      <c r="B115" s="11" t="inlineStr">
        <is>
          <t>J41111</t>
        </is>
      </c>
      <c r="C115" s="11" t="n">
        <v>3</v>
      </c>
      <c r="D115" s="11" t="inlineStr">
        <is>
          <t>שירות ותמיכה</t>
        </is>
      </c>
      <c r="E115" s="11" t="inlineStr">
        <is>
          <t>הוצאות תפעול</t>
        </is>
      </c>
      <c r="F115" s="11" t="inlineStr">
        <is>
          <t>ייעוץ מקצועי</t>
        </is>
      </c>
      <c r="G115" s="12" t="n">
        <v>2357</v>
      </c>
    </row>
    <row r="116">
      <c r="A116" s="10" t="n">
        <v>46101</v>
      </c>
      <c r="B116" s="11" t="inlineStr">
        <is>
          <t>J41112</t>
        </is>
      </c>
      <c r="C116" s="11" t="n">
        <v>3</v>
      </c>
      <c r="D116" s="11" t="inlineStr">
        <is>
          <t>מכירות ישירות</t>
        </is>
      </c>
      <c r="E116" s="11" t="inlineStr">
        <is>
          <t>הוצאות תפעול</t>
        </is>
      </c>
      <c r="F116" s="11" t="inlineStr">
        <is>
          <t>פחת</t>
        </is>
      </c>
      <c r="G116" s="12" t="n">
        <v>4832</v>
      </c>
    </row>
    <row r="117">
      <c r="A117" s="10" t="n">
        <v>46105</v>
      </c>
      <c r="B117" s="11" t="inlineStr">
        <is>
          <t>J41113</t>
        </is>
      </c>
      <c r="C117" s="11" t="n">
        <v>3</v>
      </c>
      <c r="D117" s="11" t="inlineStr">
        <is>
          <t>ערוץ מפיצים</t>
        </is>
      </c>
      <c r="E117" s="11" t="inlineStr">
        <is>
          <t>הוצאות תפעול</t>
        </is>
      </c>
      <c r="F117" s="11" t="inlineStr">
        <is>
          <t>פחת</t>
        </is>
      </c>
      <c r="G117" s="12" t="n">
        <v>5261</v>
      </c>
    </row>
    <row r="118">
      <c r="A118" s="10" t="n">
        <v>46103</v>
      </c>
      <c r="B118" s="11" t="inlineStr">
        <is>
          <t>J41114</t>
        </is>
      </c>
      <c r="C118" s="11" t="n">
        <v>3</v>
      </c>
      <c r="D118" s="11" t="inlineStr">
        <is>
          <t>שירות ותמיכה</t>
        </is>
      </c>
      <c r="E118" s="11" t="inlineStr">
        <is>
          <t>הוצאות תפעול</t>
        </is>
      </c>
      <c r="F118" s="11" t="inlineStr">
        <is>
          <t>פחת</t>
        </is>
      </c>
      <c r="G118" s="12" t="n">
        <v>5154</v>
      </c>
    </row>
    <row r="119">
      <c r="A119" s="10" t="n">
        <v>46091</v>
      </c>
      <c r="B119" s="11" t="inlineStr">
        <is>
          <t>J41115</t>
        </is>
      </c>
      <c r="C119" s="11" t="n">
        <v>3</v>
      </c>
      <c r="D119" s="11" t="inlineStr">
        <is>
          <t>מכירות ישירות</t>
        </is>
      </c>
      <c r="E119" s="11" t="inlineStr">
        <is>
          <t>הוצאות תפעול</t>
        </is>
      </c>
      <c r="F119" s="11" t="inlineStr">
        <is>
          <t>הוצאות מימון</t>
        </is>
      </c>
      <c r="G119" s="12" t="n">
        <v>2935</v>
      </c>
    </row>
    <row r="120">
      <c r="A120" s="10" t="n">
        <v>46085</v>
      </c>
      <c r="B120" s="11" t="inlineStr">
        <is>
          <t>J41116</t>
        </is>
      </c>
      <c r="C120" s="11" t="n">
        <v>3</v>
      </c>
      <c r="D120" s="11" t="inlineStr">
        <is>
          <t>ערוץ מפיצים</t>
        </is>
      </c>
      <c r="E120" s="11" t="inlineStr">
        <is>
          <t>הוצאות תפעול</t>
        </is>
      </c>
      <c r="F120" s="11" t="inlineStr">
        <is>
          <t>הוצאות מימון</t>
        </is>
      </c>
      <c r="G120" s="12" t="n">
        <v>2711</v>
      </c>
    </row>
    <row r="121">
      <c r="A121" s="10" t="n">
        <v>46091</v>
      </c>
      <c r="B121" s="11" t="inlineStr">
        <is>
          <t>J41117</t>
        </is>
      </c>
      <c r="C121" s="11" t="n">
        <v>3</v>
      </c>
      <c r="D121" s="11" t="inlineStr">
        <is>
          <t>שירות ותמיכה</t>
        </is>
      </c>
      <c r="E121" s="11" t="inlineStr">
        <is>
          <t>הוצאות תפעול</t>
        </is>
      </c>
      <c r="F121" s="11" t="inlineStr">
        <is>
          <t>הוצאות מימון</t>
        </is>
      </c>
      <c r="G121" s="12" t="n">
        <v>2838</v>
      </c>
    </row>
    <row r="122">
      <c r="A122" s="10" t="n">
        <v>46132</v>
      </c>
      <c r="B122" s="11" t="inlineStr">
        <is>
          <t>J41118</t>
        </is>
      </c>
      <c r="C122" s="11" t="n">
        <v>4</v>
      </c>
      <c r="D122" s="11" t="inlineStr">
        <is>
          <t>מכירות ישירות</t>
        </is>
      </c>
      <c r="E122" s="11" t="inlineStr">
        <is>
          <t>הכנסות</t>
        </is>
      </c>
      <c r="F122" s="11" t="inlineStr">
        <is>
          <t>הכנסות ממכירות</t>
        </is>
      </c>
      <c r="G122" s="12" t="n">
        <v>560613</v>
      </c>
    </row>
    <row r="123">
      <c r="A123" s="10" t="n">
        <v>46136</v>
      </c>
      <c r="B123" s="11" t="inlineStr">
        <is>
          <t>J41119</t>
        </is>
      </c>
      <c r="C123" s="11" t="n">
        <v>4</v>
      </c>
      <c r="D123" s="11" t="inlineStr">
        <is>
          <t>ערוץ מפיצים</t>
        </is>
      </c>
      <c r="E123" s="11" t="inlineStr">
        <is>
          <t>הכנסות</t>
        </is>
      </c>
      <c r="F123" s="11" t="inlineStr">
        <is>
          <t>הכנסות ממכירות</t>
        </is>
      </c>
      <c r="G123" s="12" t="n">
        <v>297381</v>
      </c>
    </row>
    <row r="124">
      <c r="A124" s="10" t="n">
        <v>46118</v>
      </c>
      <c r="B124" s="11" t="inlineStr">
        <is>
          <t>J41120</t>
        </is>
      </c>
      <c r="C124" s="11" t="n">
        <v>4</v>
      </c>
      <c r="D124" s="11" t="inlineStr">
        <is>
          <t>שירות ותמיכה</t>
        </is>
      </c>
      <c r="E124" s="11" t="inlineStr">
        <is>
          <t>הכנסות</t>
        </is>
      </c>
      <c r="F124" s="11" t="inlineStr">
        <is>
          <t>הכנסות ממכירות</t>
        </is>
      </c>
      <c r="G124" s="12" t="n">
        <v>153770</v>
      </c>
    </row>
    <row r="125">
      <c r="A125" s="10" t="n">
        <v>46120</v>
      </c>
      <c r="B125" s="11" t="inlineStr">
        <is>
          <t>J41121</t>
        </is>
      </c>
      <c r="C125" s="11" t="n">
        <v>4</v>
      </c>
      <c r="D125" s="11" t="inlineStr">
        <is>
          <t>מכירות ישירות</t>
        </is>
      </c>
      <c r="E125" s="11" t="inlineStr">
        <is>
          <t>הכנסות</t>
        </is>
      </c>
      <c r="F125" s="11" t="inlineStr">
        <is>
          <t>הכנסות משירות</t>
        </is>
      </c>
      <c r="G125" s="12" t="n">
        <v>4607</v>
      </c>
    </row>
    <row r="126">
      <c r="A126" s="10" t="n">
        <v>46126</v>
      </c>
      <c r="B126" s="11" t="inlineStr">
        <is>
          <t>J41122</t>
        </is>
      </c>
      <c r="C126" s="11" t="n">
        <v>4</v>
      </c>
      <c r="D126" s="11" t="inlineStr">
        <is>
          <t>ערוץ מפיצים</t>
        </is>
      </c>
      <c r="E126" s="11" t="inlineStr">
        <is>
          <t>הכנסות</t>
        </is>
      </c>
      <c r="F126" s="11" t="inlineStr">
        <is>
          <t>הכנסות משירות</t>
        </is>
      </c>
      <c r="G126" s="12" t="n">
        <v>4146</v>
      </c>
    </row>
    <row r="127">
      <c r="A127" s="10" t="n">
        <v>46118</v>
      </c>
      <c r="B127" s="11" t="inlineStr">
        <is>
          <t>J41123</t>
        </is>
      </c>
      <c r="C127" s="11" t="n">
        <v>4</v>
      </c>
      <c r="D127" s="11" t="inlineStr">
        <is>
          <t>שירות ותמיכה</t>
        </is>
      </c>
      <c r="E127" s="11" t="inlineStr">
        <is>
          <t>הכנסות</t>
        </is>
      </c>
      <c r="F127" s="11" t="inlineStr">
        <is>
          <t>הכנסות משירות</t>
        </is>
      </c>
      <c r="G127" s="12" t="n">
        <v>74112</v>
      </c>
    </row>
    <row r="128">
      <c r="A128" s="10" t="n">
        <v>46135</v>
      </c>
      <c r="B128" s="11" t="inlineStr">
        <is>
          <t>J41124</t>
        </is>
      </c>
      <c r="C128" s="11" t="n">
        <v>4</v>
      </c>
      <c r="D128" s="11" t="inlineStr">
        <is>
          <t>מכירות ישירות</t>
        </is>
      </c>
      <c r="E128" s="11" t="inlineStr">
        <is>
          <t>עלות המכר</t>
        </is>
      </c>
      <c r="F128" s="11" t="inlineStr">
        <is>
          <t>עלות המכר</t>
        </is>
      </c>
      <c r="G128" s="12" t="n">
        <v>384400</v>
      </c>
    </row>
    <row r="129">
      <c r="A129" s="10" t="n">
        <v>46137</v>
      </c>
      <c r="B129" s="11" t="inlineStr">
        <is>
          <t>J41125</t>
        </is>
      </c>
      <c r="C129" s="11" t="n">
        <v>4</v>
      </c>
      <c r="D129" s="11" t="inlineStr">
        <is>
          <t>ערוץ מפיצים</t>
        </is>
      </c>
      <c r="E129" s="11" t="inlineStr">
        <is>
          <t>עלות המכר</t>
        </is>
      </c>
      <c r="F129" s="11" t="inlineStr">
        <is>
          <t>עלות המכר</t>
        </is>
      </c>
      <c r="G129" s="12" t="n">
        <v>221223</v>
      </c>
    </row>
    <row r="130">
      <c r="A130" s="10" t="n">
        <v>46117</v>
      </c>
      <c r="B130" s="11" t="inlineStr">
        <is>
          <t>J41126</t>
        </is>
      </c>
      <c r="C130" s="11" t="n">
        <v>4</v>
      </c>
      <c r="D130" s="11" t="inlineStr">
        <is>
          <t>שירות ותמיכה</t>
        </is>
      </c>
      <c r="E130" s="11" t="inlineStr">
        <is>
          <t>עלות המכר</t>
        </is>
      </c>
      <c r="F130" s="11" t="inlineStr">
        <is>
          <t>עלות המכר</t>
        </is>
      </c>
      <c r="G130" s="12" t="n">
        <v>105043</v>
      </c>
    </row>
    <row r="131">
      <c r="A131" s="10" t="n">
        <v>46114</v>
      </c>
      <c r="B131" s="11" t="inlineStr">
        <is>
          <t>J41127</t>
        </is>
      </c>
      <c r="C131" s="11" t="n">
        <v>4</v>
      </c>
      <c r="D131" s="11" t="inlineStr">
        <is>
          <t>מכירות ישירות</t>
        </is>
      </c>
      <c r="E131" s="11" t="inlineStr">
        <is>
          <t>הוצאות תפעול</t>
        </is>
      </c>
      <c r="F131" s="11" t="inlineStr">
        <is>
          <t>שכר ונלוות</t>
        </is>
      </c>
      <c r="G131" s="12" t="n">
        <v>91784</v>
      </c>
    </row>
    <row r="132">
      <c r="A132" s="10" t="n">
        <v>46124</v>
      </c>
      <c r="B132" s="11" t="inlineStr">
        <is>
          <t>J41128</t>
        </is>
      </c>
      <c r="C132" s="11" t="n">
        <v>4</v>
      </c>
      <c r="D132" s="11" t="inlineStr">
        <is>
          <t>ערוץ מפיצים</t>
        </is>
      </c>
      <c r="E132" s="11" t="inlineStr">
        <is>
          <t>הוצאות תפעול</t>
        </is>
      </c>
      <c r="F132" s="11" t="inlineStr">
        <is>
          <t>שכר ונלוות</t>
        </is>
      </c>
      <c r="G132" s="12" t="n">
        <v>46294</v>
      </c>
    </row>
    <row r="133">
      <c r="A133" s="10" t="n">
        <v>46114</v>
      </c>
      <c r="B133" s="11" t="inlineStr">
        <is>
          <t>J41129</t>
        </is>
      </c>
      <c r="C133" s="11" t="n">
        <v>4</v>
      </c>
      <c r="D133" s="11" t="inlineStr">
        <is>
          <t>שירות ותמיכה</t>
        </is>
      </c>
      <c r="E133" s="11" t="inlineStr">
        <is>
          <t>הוצאות תפעול</t>
        </is>
      </c>
      <c r="F133" s="11" t="inlineStr">
        <is>
          <t>שכר ונלוות</t>
        </is>
      </c>
      <c r="G133" s="12" t="n">
        <v>22377</v>
      </c>
    </row>
    <row r="134">
      <c r="A134" s="10" t="n">
        <v>46134</v>
      </c>
      <c r="B134" s="11" t="inlineStr">
        <is>
          <t>J41130</t>
        </is>
      </c>
      <c r="C134" s="11" t="n">
        <v>4</v>
      </c>
      <c r="D134" s="11" t="inlineStr">
        <is>
          <t>מכירות ישירות</t>
        </is>
      </c>
      <c r="E134" s="11" t="inlineStr">
        <is>
          <t>הוצאות תפעול</t>
        </is>
      </c>
      <c r="F134" s="11" t="inlineStr">
        <is>
          <t>שכר דירה ואחזקה</t>
        </is>
      </c>
      <c r="G134" s="12" t="n">
        <v>11184</v>
      </c>
    </row>
    <row r="135">
      <c r="A135" s="10" t="n">
        <v>46132</v>
      </c>
      <c r="B135" s="11" t="inlineStr">
        <is>
          <t>J41131</t>
        </is>
      </c>
      <c r="C135" s="11" t="n">
        <v>4</v>
      </c>
      <c r="D135" s="11" t="inlineStr">
        <is>
          <t>ערוץ מפיצים</t>
        </is>
      </c>
      <c r="E135" s="11" t="inlineStr">
        <is>
          <t>הוצאות תפעול</t>
        </is>
      </c>
      <c r="F135" s="11" t="inlineStr">
        <is>
          <t>שכר דירה ואחזקה</t>
        </is>
      </c>
      <c r="G135" s="12" t="n">
        <v>9742</v>
      </c>
    </row>
    <row r="136">
      <c r="A136" s="10" t="n">
        <v>46128</v>
      </c>
      <c r="B136" s="11" t="inlineStr">
        <is>
          <t>J41132</t>
        </is>
      </c>
      <c r="C136" s="11" t="n">
        <v>4</v>
      </c>
      <c r="D136" s="11" t="inlineStr">
        <is>
          <t>שירות ותמיכה</t>
        </is>
      </c>
      <c r="E136" s="11" t="inlineStr">
        <is>
          <t>הוצאות תפעול</t>
        </is>
      </c>
      <c r="F136" s="11" t="inlineStr">
        <is>
          <t>שכר דירה ואחזקה</t>
        </is>
      </c>
      <c r="G136" s="12" t="n">
        <v>11048</v>
      </c>
    </row>
    <row r="137">
      <c r="A137" s="10" t="n">
        <v>46121</v>
      </c>
      <c r="B137" s="11" t="inlineStr">
        <is>
          <t>J41133</t>
        </is>
      </c>
      <c r="C137" s="11" t="n">
        <v>4</v>
      </c>
      <c r="D137" s="11" t="inlineStr">
        <is>
          <t>מכירות ישירות</t>
        </is>
      </c>
      <c r="E137" s="11" t="inlineStr">
        <is>
          <t>הוצאות תפעול</t>
        </is>
      </c>
      <c r="F137" s="11" t="inlineStr">
        <is>
          <t>הוצאות רכב</t>
        </is>
      </c>
      <c r="G137" s="12" t="n">
        <v>12427</v>
      </c>
    </row>
    <row r="138">
      <c r="A138" s="10" t="n">
        <v>46117</v>
      </c>
      <c r="B138" s="11" t="inlineStr">
        <is>
          <t>J41134</t>
        </is>
      </c>
      <c r="C138" s="11" t="n">
        <v>4</v>
      </c>
      <c r="D138" s="11" t="inlineStr">
        <is>
          <t>ערוץ מפיצים</t>
        </is>
      </c>
      <c r="E138" s="11" t="inlineStr">
        <is>
          <t>הוצאות תפעול</t>
        </is>
      </c>
      <c r="F138" s="11" t="inlineStr">
        <is>
          <t>הוצאות רכב</t>
        </is>
      </c>
      <c r="G138" s="12" t="n">
        <v>6730</v>
      </c>
    </row>
    <row r="139">
      <c r="A139" s="10" t="n">
        <v>46133</v>
      </c>
      <c r="B139" s="11" t="inlineStr">
        <is>
          <t>J41135</t>
        </is>
      </c>
      <c r="C139" s="11" t="n">
        <v>4</v>
      </c>
      <c r="D139" s="11" t="inlineStr">
        <is>
          <t>שירות ותמיכה</t>
        </is>
      </c>
      <c r="E139" s="11" t="inlineStr">
        <is>
          <t>הוצאות תפעול</t>
        </is>
      </c>
      <c r="F139" s="11" t="inlineStr">
        <is>
          <t>הוצאות רכב</t>
        </is>
      </c>
      <c r="G139" s="12" t="n">
        <v>3101</v>
      </c>
    </row>
    <row r="140">
      <c r="A140" s="10" t="n">
        <v>46124</v>
      </c>
      <c r="B140" s="11" t="inlineStr">
        <is>
          <t>J41136</t>
        </is>
      </c>
      <c r="C140" s="11" t="n">
        <v>4</v>
      </c>
      <c r="D140" s="11" t="inlineStr">
        <is>
          <t>מכירות ישירות</t>
        </is>
      </c>
      <c r="E140" s="11" t="inlineStr">
        <is>
          <t>הוצאות תפעול</t>
        </is>
      </c>
      <c r="F140" s="11" t="inlineStr">
        <is>
          <t>פרסום ושיווק</t>
        </is>
      </c>
      <c r="G140" s="12" t="n">
        <v>17464</v>
      </c>
    </row>
    <row r="141">
      <c r="A141" s="10" t="n">
        <v>46115</v>
      </c>
      <c r="B141" s="11" t="inlineStr">
        <is>
          <t>J41137</t>
        </is>
      </c>
      <c r="C141" s="11" t="n">
        <v>4</v>
      </c>
      <c r="D141" s="11" t="inlineStr">
        <is>
          <t>ערוץ מפיצים</t>
        </is>
      </c>
      <c r="E141" s="11" t="inlineStr">
        <is>
          <t>הוצאות תפעול</t>
        </is>
      </c>
      <c r="F141" s="11" t="inlineStr">
        <is>
          <t>פרסום ושיווק</t>
        </is>
      </c>
      <c r="G141" s="12" t="n">
        <v>11321</v>
      </c>
    </row>
    <row r="142">
      <c r="A142" s="10" t="n">
        <v>46123</v>
      </c>
      <c r="B142" s="11" t="inlineStr">
        <is>
          <t>J41138</t>
        </is>
      </c>
      <c r="C142" s="11" t="n">
        <v>4</v>
      </c>
      <c r="D142" s="11" t="inlineStr">
        <is>
          <t>שירות ותמיכה</t>
        </is>
      </c>
      <c r="E142" s="11" t="inlineStr">
        <is>
          <t>הוצאות תפעול</t>
        </is>
      </c>
      <c r="F142" s="11" t="inlineStr">
        <is>
          <t>פרסום ושיווק</t>
        </is>
      </c>
      <c r="G142" s="12" t="n">
        <v>5202</v>
      </c>
    </row>
    <row r="143">
      <c r="A143" s="10" t="n">
        <v>46126</v>
      </c>
      <c r="B143" s="11" t="inlineStr">
        <is>
          <t>J41139</t>
        </is>
      </c>
      <c r="C143" s="11" t="n">
        <v>4</v>
      </c>
      <c r="D143" s="11" t="inlineStr">
        <is>
          <t>מכירות ישירות</t>
        </is>
      </c>
      <c r="E143" s="11" t="inlineStr">
        <is>
          <t>הוצאות תפעול</t>
        </is>
      </c>
      <c r="F143" s="11" t="inlineStr">
        <is>
          <t>כיבודים ואירוח</t>
        </is>
      </c>
      <c r="G143" s="12" t="n">
        <v>2657</v>
      </c>
    </row>
    <row r="144">
      <c r="A144" s="10" t="n">
        <v>46133</v>
      </c>
      <c r="B144" s="11" t="inlineStr">
        <is>
          <t>J41140</t>
        </is>
      </c>
      <c r="C144" s="11" t="n">
        <v>4</v>
      </c>
      <c r="D144" s="11" t="inlineStr">
        <is>
          <t>ערוץ מפיצים</t>
        </is>
      </c>
      <c r="E144" s="11" t="inlineStr">
        <is>
          <t>הוצאות תפעול</t>
        </is>
      </c>
      <c r="F144" s="11" t="inlineStr">
        <is>
          <t>כיבודים ואירוח</t>
        </is>
      </c>
      <c r="G144" s="12" t="n">
        <v>1458</v>
      </c>
    </row>
    <row r="145">
      <c r="A145" s="10" t="n">
        <v>46117</v>
      </c>
      <c r="B145" s="11" t="inlineStr">
        <is>
          <t>J41141</t>
        </is>
      </c>
      <c r="C145" s="11" t="n">
        <v>4</v>
      </c>
      <c r="D145" s="11" t="inlineStr">
        <is>
          <t>שירות ותמיכה</t>
        </is>
      </c>
      <c r="E145" s="11" t="inlineStr">
        <is>
          <t>הוצאות תפעול</t>
        </is>
      </c>
      <c r="F145" s="11" t="inlineStr">
        <is>
          <t>כיבודים ואירוח</t>
        </is>
      </c>
      <c r="G145" s="12" t="n">
        <v>738</v>
      </c>
    </row>
    <row r="146">
      <c r="A146" s="10" t="n">
        <v>46120</v>
      </c>
      <c r="B146" s="11" t="inlineStr">
        <is>
          <t>J41142</t>
        </is>
      </c>
      <c r="C146" s="11" t="n">
        <v>4</v>
      </c>
      <c r="D146" s="11" t="inlineStr">
        <is>
          <t>מכירות ישירות</t>
        </is>
      </c>
      <c r="E146" s="11" t="inlineStr">
        <is>
          <t>הוצאות תפעול</t>
        </is>
      </c>
      <c r="F146" s="11" t="inlineStr">
        <is>
          <t>הוצאות משרד</t>
        </is>
      </c>
      <c r="G146" s="12" t="n">
        <v>5387</v>
      </c>
    </row>
    <row r="147">
      <c r="A147" s="10" t="n">
        <v>46122</v>
      </c>
      <c r="B147" s="11" t="inlineStr">
        <is>
          <t>J41143</t>
        </is>
      </c>
      <c r="C147" s="11" t="n">
        <v>4</v>
      </c>
      <c r="D147" s="11" t="inlineStr">
        <is>
          <t>ערוץ מפיצים</t>
        </is>
      </c>
      <c r="E147" s="11" t="inlineStr">
        <is>
          <t>הוצאות תפעול</t>
        </is>
      </c>
      <c r="F147" s="11" t="inlineStr">
        <is>
          <t>הוצאות משרד</t>
        </is>
      </c>
      <c r="G147" s="12" t="n">
        <v>3128</v>
      </c>
    </row>
    <row r="148">
      <c r="A148" s="10" t="n">
        <v>46136</v>
      </c>
      <c r="B148" s="11" t="inlineStr">
        <is>
          <t>J41144</t>
        </is>
      </c>
      <c r="C148" s="11" t="n">
        <v>4</v>
      </c>
      <c r="D148" s="11" t="inlineStr">
        <is>
          <t>שירות ותמיכה</t>
        </is>
      </c>
      <c r="E148" s="11" t="inlineStr">
        <is>
          <t>הוצאות תפעול</t>
        </is>
      </c>
      <c r="F148" s="11" t="inlineStr">
        <is>
          <t>הוצאות משרד</t>
        </is>
      </c>
      <c r="G148" s="12" t="n">
        <v>1429</v>
      </c>
    </row>
    <row r="149">
      <c r="A149" s="10" t="n">
        <v>46139</v>
      </c>
      <c r="B149" s="11" t="inlineStr">
        <is>
          <t>J41145</t>
        </is>
      </c>
      <c r="C149" s="11" t="n">
        <v>4</v>
      </c>
      <c r="D149" s="11" t="inlineStr">
        <is>
          <t>מכירות ישירות</t>
        </is>
      </c>
      <c r="E149" s="11" t="inlineStr">
        <is>
          <t>הוצאות תפעול</t>
        </is>
      </c>
      <c r="F149" s="11" t="inlineStr">
        <is>
          <t>עמלות סליקה</t>
        </is>
      </c>
      <c r="G149" s="12" t="n">
        <v>6273</v>
      </c>
    </row>
    <row r="150">
      <c r="A150" s="10" t="n">
        <v>46138</v>
      </c>
      <c r="B150" s="11" t="inlineStr">
        <is>
          <t>J41146</t>
        </is>
      </c>
      <c r="C150" s="11" t="n">
        <v>4</v>
      </c>
      <c r="D150" s="11" t="inlineStr">
        <is>
          <t>ערוץ מפיצים</t>
        </is>
      </c>
      <c r="E150" s="11" t="inlineStr">
        <is>
          <t>הוצאות תפעול</t>
        </is>
      </c>
      <c r="F150" s="11" t="inlineStr">
        <is>
          <t>עמלות סליקה</t>
        </is>
      </c>
      <c r="G150" s="12" t="n">
        <v>3323</v>
      </c>
    </row>
    <row r="151">
      <c r="A151" s="10" t="n">
        <v>46135</v>
      </c>
      <c r="B151" s="11" t="inlineStr">
        <is>
          <t>J41147</t>
        </is>
      </c>
      <c r="C151" s="11" t="n">
        <v>4</v>
      </c>
      <c r="D151" s="11" t="inlineStr">
        <is>
          <t>שירות ותמיכה</t>
        </is>
      </c>
      <c r="E151" s="11" t="inlineStr">
        <is>
          <t>הוצאות תפעול</t>
        </is>
      </c>
      <c r="F151" s="11" t="inlineStr">
        <is>
          <t>עמלות סליקה</t>
        </is>
      </c>
      <c r="G151" s="12" t="n">
        <v>1718</v>
      </c>
    </row>
    <row r="152">
      <c r="A152" s="10" t="n">
        <v>46117</v>
      </c>
      <c r="B152" s="11" t="inlineStr">
        <is>
          <t>J41148</t>
        </is>
      </c>
      <c r="C152" s="11" t="n">
        <v>4</v>
      </c>
      <c r="D152" s="11" t="inlineStr">
        <is>
          <t>מכירות ישירות</t>
        </is>
      </c>
      <c r="E152" s="11" t="inlineStr">
        <is>
          <t>הוצאות תפעול</t>
        </is>
      </c>
      <c r="F152" s="11" t="inlineStr">
        <is>
          <t>ייעוץ מקצועי</t>
        </is>
      </c>
      <c r="G152" s="12" t="n">
        <v>7927</v>
      </c>
    </row>
    <row r="153">
      <c r="A153" s="10" t="n">
        <v>46134</v>
      </c>
      <c r="B153" s="11" t="inlineStr">
        <is>
          <t>J41149</t>
        </is>
      </c>
      <c r="C153" s="11" t="n">
        <v>4</v>
      </c>
      <c r="D153" s="11" t="inlineStr">
        <is>
          <t>ערוץ מפיצים</t>
        </is>
      </c>
      <c r="E153" s="11" t="inlineStr">
        <is>
          <t>הוצאות תפעול</t>
        </is>
      </c>
      <c r="F153" s="11" t="inlineStr">
        <is>
          <t>ייעוץ מקצועי</t>
        </is>
      </c>
      <c r="G153" s="12" t="n">
        <v>3687</v>
      </c>
    </row>
    <row r="154">
      <c r="A154" s="10" t="n">
        <v>46134</v>
      </c>
      <c r="B154" s="11" t="inlineStr">
        <is>
          <t>J41150</t>
        </is>
      </c>
      <c r="C154" s="11" t="n">
        <v>4</v>
      </c>
      <c r="D154" s="11" t="inlineStr">
        <is>
          <t>שירות ותמיכה</t>
        </is>
      </c>
      <c r="E154" s="11" t="inlineStr">
        <is>
          <t>הוצאות תפעול</t>
        </is>
      </c>
      <c r="F154" s="11" t="inlineStr">
        <is>
          <t>ייעוץ מקצועי</t>
        </is>
      </c>
      <c r="G154" s="12" t="n">
        <v>2147</v>
      </c>
    </row>
    <row r="155">
      <c r="A155" s="10" t="n">
        <v>46132</v>
      </c>
      <c r="B155" s="11" t="inlineStr">
        <is>
          <t>J41151</t>
        </is>
      </c>
      <c r="C155" s="11" t="n">
        <v>4</v>
      </c>
      <c r="D155" s="11" t="inlineStr">
        <is>
          <t>מכירות ישירות</t>
        </is>
      </c>
      <c r="E155" s="11" t="inlineStr">
        <is>
          <t>הוצאות תפעול</t>
        </is>
      </c>
      <c r="F155" s="11" t="inlineStr">
        <is>
          <t>פחת</t>
        </is>
      </c>
      <c r="G155" s="12" t="n">
        <v>4362</v>
      </c>
    </row>
    <row r="156">
      <c r="A156" s="10" t="n">
        <v>46121</v>
      </c>
      <c r="B156" s="11" t="inlineStr">
        <is>
          <t>J41152</t>
        </is>
      </c>
      <c r="C156" s="11" t="n">
        <v>4</v>
      </c>
      <c r="D156" s="11" t="inlineStr">
        <is>
          <t>ערוץ מפיצים</t>
        </is>
      </c>
      <c r="E156" s="11" t="inlineStr">
        <is>
          <t>הוצאות תפעול</t>
        </is>
      </c>
      <c r="F156" s="11" t="inlineStr">
        <is>
          <t>פחת</t>
        </is>
      </c>
      <c r="G156" s="12" t="n">
        <v>4260</v>
      </c>
    </row>
    <row r="157">
      <c r="A157" s="10" t="n">
        <v>46133</v>
      </c>
      <c r="B157" s="11" t="inlineStr">
        <is>
          <t>J41153</t>
        </is>
      </c>
      <c r="C157" s="11" t="n">
        <v>4</v>
      </c>
      <c r="D157" s="11" t="inlineStr">
        <is>
          <t>שירות ותמיכה</t>
        </is>
      </c>
      <c r="E157" s="11" t="inlineStr">
        <is>
          <t>הוצאות תפעול</t>
        </is>
      </c>
      <c r="F157" s="11" t="inlineStr">
        <is>
          <t>פחת</t>
        </is>
      </c>
      <c r="G157" s="12" t="n">
        <v>4534</v>
      </c>
    </row>
    <row r="158">
      <c r="A158" s="10" t="n">
        <v>46118</v>
      </c>
      <c r="B158" s="11" t="inlineStr">
        <is>
          <t>J41154</t>
        </is>
      </c>
      <c r="C158" s="11" t="n">
        <v>4</v>
      </c>
      <c r="D158" s="11" t="inlineStr">
        <is>
          <t>מכירות ישירות</t>
        </is>
      </c>
      <c r="E158" s="11" t="inlineStr">
        <is>
          <t>הוצאות תפעול</t>
        </is>
      </c>
      <c r="F158" s="11" t="inlineStr">
        <is>
          <t>הוצאות מימון</t>
        </is>
      </c>
      <c r="G158" s="12" t="n">
        <v>2740</v>
      </c>
    </row>
    <row r="159">
      <c r="A159" s="10" t="n">
        <v>46115</v>
      </c>
      <c r="B159" s="11" t="inlineStr">
        <is>
          <t>J41155</t>
        </is>
      </c>
      <c r="C159" s="11" t="n">
        <v>4</v>
      </c>
      <c r="D159" s="11" t="inlineStr">
        <is>
          <t>ערוץ מפיצים</t>
        </is>
      </c>
      <c r="E159" s="11" t="inlineStr">
        <is>
          <t>הוצאות תפעול</t>
        </is>
      </c>
      <c r="F159" s="11" t="inlineStr">
        <is>
          <t>הוצאות מימון</t>
        </is>
      </c>
      <c r="G159" s="12" t="n">
        <v>2376</v>
      </c>
    </row>
    <row r="160">
      <c r="A160" s="10" t="n">
        <v>46116</v>
      </c>
      <c r="B160" s="11" t="inlineStr">
        <is>
          <t>J41156</t>
        </is>
      </c>
      <c r="C160" s="11" t="n">
        <v>4</v>
      </c>
      <c r="D160" s="11" t="inlineStr">
        <is>
          <t>שירות ותמיכה</t>
        </is>
      </c>
      <c r="E160" s="11" t="inlineStr">
        <is>
          <t>הוצאות תפעול</t>
        </is>
      </c>
      <c r="F160" s="11" t="inlineStr">
        <is>
          <t>הוצאות מימון</t>
        </is>
      </c>
      <c r="G160" s="12" t="n">
        <v>2321</v>
      </c>
    </row>
    <row r="161">
      <c r="A161" s="10" t="n">
        <v>46169</v>
      </c>
      <c r="B161" s="11" t="inlineStr">
        <is>
          <t>J41157</t>
        </is>
      </c>
      <c r="C161" s="11" t="n">
        <v>5</v>
      </c>
      <c r="D161" s="11" t="inlineStr">
        <is>
          <t>מכירות ישירות</t>
        </is>
      </c>
      <c r="E161" s="11" t="inlineStr">
        <is>
          <t>הכנסות</t>
        </is>
      </c>
      <c r="F161" s="11" t="inlineStr">
        <is>
          <t>הכנסות ממכירות</t>
        </is>
      </c>
      <c r="G161" s="12" t="n">
        <v>541368</v>
      </c>
    </row>
    <row r="162">
      <c r="A162" s="10" t="n">
        <v>46161</v>
      </c>
      <c r="B162" s="11" t="inlineStr">
        <is>
          <t>J41158</t>
        </is>
      </c>
      <c r="C162" s="11" t="n">
        <v>5</v>
      </c>
      <c r="D162" s="11" t="inlineStr">
        <is>
          <t>ערוץ מפיצים</t>
        </is>
      </c>
      <c r="E162" s="11" t="inlineStr">
        <is>
          <t>הכנסות</t>
        </is>
      </c>
      <c r="F162" s="11" t="inlineStr">
        <is>
          <t>הכנסות ממכירות</t>
        </is>
      </c>
      <c r="G162" s="12" t="n">
        <v>295543</v>
      </c>
    </row>
    <row r="163">
      <c r="A163" s="10" t="n">
        <v>46159</v>
      </c>
      <c r="B163" s="11" t="inlineStr">
        <is>
          <t>J41159</t>
        </is>
      </c>
      <c r="C163" s="11" t="n">
        <v>5</v>
      </c>
      <c r="D163" s="11" t="inlineStr">
        <is>
          <t>שירות ותמיכה</t>
        </is>
      </c>
      <c r="E163" s="11" t="inlineStr">
        <is>
          <t>הכנסות</t>
        </is>
      </c>
      <c r="F163" s="11" t="inlineStr">
        <is>
          <t>הכנסות ממכירות</t>
        </is>
      </c>
      <c r="G163" s="12" t="n">
        <v>141421</v>
      </c>
    </row>
    <row r="164">
      <c r="A164" s="10" t="n">
        <v>46157</v>
      </c>
      <c r="B164" s="11" t="inlineStr">
        <is>
          <t>J41160</t>
        </is>
      </c>
      <c r="C164" s="11" t="n">
        <v>5</v>
      </c>
      <c r="D164" s="11" t="inlineStr">
        <is>
          <t>מכירות ישירות</t>
        </is>
      </c>
      <c r="E164" s="11" t="inlineStr">
        <is>
          <t>הכנסות</t>
        </is>
      </c>
      <c r="F164" s="11" t="inlineStr">
        <is>
          <t>הכנסות משירות</t>
        </is>
      </c>
      <c r="G164" s="12" t="n">
        <v>5109</v>
      </c>
    </row>
    <row r="165">
      <c r="A165" s="10" t="n">
        <v>46148</v>
      </c>
      <c r="B165" s="11" t="inlineStr">
        <is>
          <t>J41161</t>
        </is>
      </c>
      <c r="C165" s="11" t="n">
        <v>5</v>
      </c>
      <c r="D165" s="11" t="inlineStr">
        <is>
          <t>ערוץ מפיצים</t>
        </is>
      </c>
      <c r="E165" s="11" t="inlineStr">
        <is>
          <t>הכנסות</t>
        </is>
      </c>
      <c r="F165" s="11" t="inlineStr">
        <is>
          <t>הכנסות משירות</t>
        </is>
      </c>
      <c r="G165" s="12" t="n">
        <v>4724</v>
      </c>
    </row>
    <row r="166">
      <c r="A166" s="10" t="n">
        <v>46154</v>
      </c>
      <c r="B166" s="11" t="inlineStr">
        <is>
          <t>J41162</t>
        </is>
      </c>
      <c r="C166" s="11" t="n">
        <v>5</v>
      </c>
      <c r="D166" s="11" t="inlineStr">
        <is>
          <t>שירות ותמיכה</t>
        </is>
      </c>
      <c r="E166" s="11" t="inlineStr">
        <is>
          <t>הכנסות</t>
        </is>
      </c>
      <c r="F166" s="11" t="inlineStr">
        <is>
          <t>הכנסות משירות</t>
        </is>
      </c>
      <c r="G166" s="12" t="n">
        <v>85495</v>
      </c>
    </row>
    <row r="167">
      <c r="A167" s="10" t="n">
        <v>46154</v>
      </c>
      <c r="B167" s="11" t="inlineStr">
        <is>
          <t>J41163</t>
        </is>
      </c>
      <c r="C167" s="11" t="n">
        <v>5</v>
      </c>
      <c r="D167" s="11" t="inlineStr">
        <is>
          <t>מכירות ישירות</t>
        </is>
      </c>
      <c r="E167" s="11" t="inlineStr">
        <is>
          <t>עלות המכר</t>
        </is>
      </c>
      <c r="F167" s="11" t="inlineStr">
        <is>
          <t>עלות המכר</t>
        </is>
      </c>
      <c r="G167" s="12" t="n">
        <v>399091</v>
      </c>
    </row>
    <row r="168">
      <c r="A168" s="10" t="n">
        <v>46149</v>
      </c>
      <c r="B168" s="11" t="inlineStr">
        <is>
          <t>J41164</t>
        </is>
      </c>
      <c r="C168" s="11" t="n">
        <v>5</v>
      </c>
      <c r="D168" s="11" t="inlineStr">
        <is>
          <t>ערוץ מפיצים</t>
        </is>
      </c>
      <c r="E168" s="11" t="inlineStr">
        <is>
          <t>עלות המכר</t>
        </is>
      </c>
      <c r="F168" s="11" t="inlineStr">
        <is>
          <t>עלות המכר</t>
        </is>
      </c>
      <c r="G168" s="12" t="n">
        <v>206320</v>
      </c>
    </row>
    <row r="169">
      <c r="A169" s="10" t="n">
        <v>46163</v>
      </c>
      <c r="B169" s="11" t="inlineStr">
        <is>
          <t>J41165</t>
        </is>
      </c>
      <c r="C169" s="11" t="n">
        <v>5</v>
      </c>
      <c r="D169" s="11" t="inlineStr">
        <is>
          <t>שירות ותמיכה</t>
        </is>
      </c>
      <c r="E169" s="11" t="inlineStr">
        <is>
          <t>עלות המכר</t>
        </is>
      </c>
      <c r="F169" s="11" t="inlineStr">
        <is>
          <t>עלות המכר</t>
        </is>
      </c>
      <c r="G169" s="12" t="n">
        <v>107599</v>
      </c>
    </row>
    <row r="170">
      <c r="A170" s="10" t="n">
        <v>46156</v>
      </c>
      <c r="B170" s="11" t="inlineStr">
        <is>
          <t>J41166</t>
        </is>
      </c>
      <c r="C170" s="11" t="n">
        <v>5</v>
      </c>
      <c r="D170" s="11" t="inlineStr">
        <is>
          <t>מכירות ישירות</t>
        </is>
      </c>
      <c r="E170" s="11" t="inlineStr">
        <is>
          <t>הוצאות תפעול</t>
        </is>
      </c>
      <c r="F170" s="11" t="inlineStr">
        <is>
          <t>שכר ונלוות</t>
        </is>
      </c>
      <c r="G170" s="12" t="n">
        <v>96661</v>
      </c>
    </row>
    <row r="171">
      <c r="A171" s="10" t="n">
        <v>46150</v>
      </c>
      <c r="B171" s="11" t="inlineStr">
        <is>
          <t>J41167</t>
        </is>
      </c>
      <c r="C171" s="11" t="n">
        <v>5</v>
      </c>
      <c r="D171" s="11" t="inlineStr">
        <is>
          <t>ערוץ מפיצים</t>
        </is>
      </c>
      <c r="E171" s="11" t="inlineStr">
        <is>
          <t>הוצאות תפעול</t>
        </is>
      </c>
      <c r="F171" s="11" t="inlineStr">
        <is>
          <t>שכר ונלוות</t>
        </is>
      </c>
      <c r="G171" s="12" t="n">
        <v>47939</v>
      </c>
    </row>
    <row r="172">
      <c r="A172" s="10" t="n">
        <v>46145</v>
      </c>
      <c r="B172" s="11" t="inlineStr">
        <is>
          <t>J41168</t>
        </is>
      </c>
      <c r="C172" s="11" t="n">
        <v>5</v>
      </c>
      <c r="D172" s="11" t="inlineStr">
        <is>
          <t>שירות ותמיכה</t>
        </is>
      </c>
      <c r="E172" s="11" t="inlineStr">
        <is>
          <t>הוצאות תפעול</t>
        </is>
      </c>
      <c r="F172" s="11" t="inlineStr">
        <is>
          <t>שכר ונלוות</t>
        </is>
      </c>
      <c r="G172" s="12" t="n">
        <v>26468</v>
      </c>
    </row>
    <row r="173">
      <c r="A173" s="10" t="n">
        <v>46153</v>
      </c>
      <c r="B173" s="11" t="inlineStr">
        <is>
          <t>J41169</t>
        </is>
      </c>
      <c r="C173" s="11" t="n">
        <v>5</v>
      </c>
      <c r="D173" s="11" t="inlineStr">
        <is>
          <t>מכירות ישירות</t>
        </is>
      </c>
      <c r="E173" s="11" t="inlineStr">
        <is>
          <t>הוצאות תפעול</t>
        </is>
      </c>
      <c r="F173" s="11" t="inlineStr">
        <is>
          <t>שכר דירה ואחזקה</t>
        </is>
      </c>
      <c r="G173" s="12" t="n">
        <v>10319</v>
      </c>
    </row>
    <row r="174">
      <c r="A174" s="10" t="n">
        <v>46152</v>
      </c>
      <c r="B174" s="11" t="inlineStr">
        <is>
          <t>J41170</t>
        </is>
      </c>
      <c r="C174" s="11" t="n">
        <v>5</v>
      </c>
      <c r="D174" s="11" t="inlineStr">
        <is>
          <t>ערוץ מפיצים</t>
        </is>
      </c>
      <c r="E174" s="11" t="inlineStr">
        <is>
          <t>הוצאות תפעול</t>
        </is>
      </c>
      <c r="F174" s="11" t="inlineStr">
        <is>
          <t>שכר דירה ואחזקה</t>
        </is>
      </c>
      <c r="G174" s="12" t="n">
        <v>9925</v>
      </c>
    </row>
    <row r="175">
      <c r="A175" s="10" t="n">
        <v>46146</v>
      </c>
      <c r="B175" s="11" t="inlineStr">
        <is>
          <t>J41171</t>
        </is>
      </c>
      <c r="C175" s="11" t="n">
        <v>5</v>
      </c>
      <c r="D175" s="11" t="inlineStr">
        <is>
          <t>שירות ותמיכה</t>
        </is>
      </c>
      <c r="E175" s="11" t="inlineStr">
        <is>
          <t>הוצאות תפעול</t>
        </is>
      </c>
      <c r="F175" s="11" t="inlineStr">
        <is>
          <t>שכר דירה ואחזקה</t>
        </is>
      </c>
      <c r="G175" s="12" t="n">
        <v>11003</v>
      </c>
    </row>
    <row r="176">
      <c r="A176" s="10" t="n">
        <v>46161</v>
      </c>
      <c r="B176" s="11" t="inlineStr">
        <is>
          <t>J41172</t>
        </is>
      </c>
      <c r="C176" s="11" t="n">
        <v>5</v>
      </c>
      <c r="D176" s="11" t="inlineStr">
        <is>
          <t>מכירות ישירות</t>
        </is>
      </c>
      <c r="E176" s="11" t="inlineStr">
        <is>
          <t>הוצאות תפעול</t>
        </is>
      </c>
      <c r="F176" s="11" t="inlineStr">
        <is>
          <t>הוצאות רכב</t>
        </is>
      </c>
      <c r="G176" s="12" t="n">
        <v>12766</v>
      </c>
    </row>
    <row r="177">
      <c r="A177" s="10" t="n">
        <v>46154</v>
      </c>
      <c r="B177" s="11" t="inlineStr">
        <is>
          <t>J41173</t>
        </is>
      </c>
      <c r="C177" s="11" t="n">
        <v>5</v>
      </c>
      <c r="D177" s="11" t="inlineStr">
        <is>
          <t>ערוץ מפיצים</t>
        </is>
      </c>
      <c r="E177" s="11" t="inlineStr">
        <is>
          <t>הוצאות תפעול</t>
        </is>
      </c>
      <c r="F177" s="11" t="inlineStr">
        <is>
          <t>הוצאות רכב</t>
        </is>
      </c>
      <c r="G177" s="12" t="n">
        <v>6092</v>
      </c>
    </row>
    <row r="178">
      <c r="A178" s="10" t="n">
        <v>46164</v>
      </c>
      <c r="B178" s="11" t="inlineStr">
        <is>
          <t>J41174</t>
        </is>
      </c>
      <c r="C178" s="11" t="n">
        <v>5</v>
      </c>
      <c r="D178" s="11" t="inlineStr">
        <is>
          <t>שירות ותמיכה</t>
        </is>
      </c>
      <c r="E178" s="11" t="inlineStr">
        <is>
          <t>הוצאות תפעול</t>
        </is>
      </c>
      <c r="F178" s="11" t="inlineStr">
        <is>
          <t>הוצאות רכב</t>
        </is>
      </c>
      <c r="G178" s="12" t="n">
        <v>2975</v>
      </c>
    </row>
    <row r="179">
      <c r="A179" s="10" t="n">
        <v>46161</v>
      </c>
      <c r="B179" s="11" t="inlineStr">
        <is>
          <t>J41175</t>
        </is>
      </c>
      <c r="C179" s="11" t="n">
        <v>5</v>
      </c>
      <c r="D179" s="11" t="inlineStr">
        <is>
          <t>מכירות ישירות</t>
        </is>
      </c>
      <c r="E179" s="11" t="inlineStr">
        <is>
          <t>הוצאות תפעול</t>
        </is>
      </c>
      <c r="F179" s="11" t="inlineStr">
        <is>
          <t>פרסום ושיווק</t>
        </is>
      </c>
      <c r="G179" s="12" t="n">
        <v>18587</v>
      </c>
    </row>
    <row r="180">
      <c r="A180" s="10" t="n">
        <v>46157</v>
      </c>
      <c r="B180" s="11" t="inlineStr">
        <is>
          <t>J41176</t>
        </is>
      </c>
      <c r="C180" s="11" t="n">
        <v>5</v>
      </c>
      <c r="D180" s="11" t="inlineStr">
        <is>
          <t>ערוץ מפיצים</t>
        </is>
      </c>
      <c r="E180" s="11" t="inlineStr">
        <is>
          <t>הוצאות תפעול</t>
        </is>
      </c>
      <c r="F180" s="11" t="inlineStr">
        <is>
          <t>פרסום ושיווק</t>
        </is>
      </c>
      <c r="G180" s="12" t="n">
        <v>10242</v>
      </c>
    </row>
    <row r="181">
      <c r="A181" s="10" t="n">
        <v>46152</v>
      </c>
      <c r="B181" s="11" t="inlineStr">
        <is>
          <t>J41177</t>
        </is>
      </c>
      <c r="C181" s="11" t="n">
        <v>5</v>
      </c>
      <c r="D181" s="11" t="inlineStr">
        <is>
          <t>שירות ותמיכה</t>
        </is>
      </c>
      <c r="E181" s="11" t="inlineStr">
        <is>
          <t>הוצאות תפעול</t>
        </is>
      </c>
      <c r="F181" s="11" t="inlineStr">
        <is>
          <t>פרסום ושיווק</t>
        </is>
      </c>
      <c r="G181" s="12" t="n">
        <v>5569</v>
      </c>
    </row>
    <row r="182">
      <c r="A182" s="10" t="n">
        <v>46145</v>
      </c>
      <c r="B182" s="11" t="inlineStr">
        <is>
          <t>J41178</t>
        </is>
      </c>
      <c r="C182" s="11" t="n">
        <v>5</v>
      </c>
      <c r="D182" s="11" t="inlineStr">
        <is>
          <t>מכירות ישירות</t>
        </is>
      </c>
      <c r="E182" s="11" t="inlineStr">
        <is>
          <t>הוצאות תפעול</t>
        </is>
      </c>
      <c r="F182" s="11" t="inlineStr">
        <is>
          <t>כיבודים ואירוח</t>
        </is>
      </c>
      <c r="G182" s="12" t="n">
        <v>2654</v>
      </c>
    </row>
    <row r="183">
      <c r="A183" s="10" t="n">
        <v>46165</v>
      </c>
      <c r="B183" s="11" t="inlineStr">
        <is>
          <t>J41179</t>
        </is>
      </c>
      <c r="C183" s="11" t="n">
        <v>5</v>
      </c>
      <c r="D183" s="11" t="inlineStr">
        <is>
          <t>ערוץ מפיצים</t>
        </is>
      </c>
      <c r="E183" s="11" t="inlineStr">
        <is>
          <t>הוצאות תפעול</t>
        </is>
      </c>
      <c r="F183" s="11" t="inlineStr">
        <is>
          <t>כיבודים ואירוח</t>
        </is>
      </c>
      <c r="G183" s="12" t="n">
        <v>1443</v>
      </c>
    </row>
    <row r="184">
      <c r="A184" s="10" t="n">
        <v>46159</v>
      </c>
      <c r="B184" s="11" t="inlineStr">
        <is>
          <t>J41180</t>
        </is>
      </c>
      <c r="C184" s="11" t="n">
        <v>5</v>
      </c>
      <c r="D184" s="11" t="inlineStr">
        <is>
          <t>שירות ותמיכה</t>
        </is>
      </c>
      <c r="E184" s="11" t="inlineStr">
        <is>
          <t>הוצאות תפעול</t>
        </is>
      </c>
      <c r="F184" s="11" t="inlineStr">
        <is>
          <t>כיבודים ואירוח</t>
        </is>
      </c>
      <c r="G184" s="12" t="n">
        <v>694</v>
      </c>
    </row>
    <row r="185">
      <c r="A185" s="10" t="n">
        <v>46147</v>
      </c>
      <c r="B185" s="11" t="inlineStr">
        <is>
          <t>J41181</t>
        </is>
      </c>
      <c r="C185" s="11" t="n">
        <v>5</v>
      </c>
      <c r="D185" s="11" t="inlineStr">
        <is>
          <t>מכירות ישירות</t>
        </is>
      </c>
      <c r="E185" s="11" t="inlineStr">
        <is>
          <t>הוצאות תפעול</t>
        </is>
      </c>
      <c r="F185" s="11" t="inlineStr">
        <is>
          <t>הוצאות משרד</t>
        </is>
      </c>
      <c r="G185" s="12" t="n">
        <v>5298</v>
      </c>
    </row>
    <row r="186">
      <c r="A186" s="10" t="n">
        <v>46169</v>
      </c>
      <c r="B186" s="11" t="inlineStr">
        <is>
          <t>J41182</t>
        </is>
      </c>
      <c r="C186" s="11" t="n">
        <v>5</v>
      </c>
      <c r="D186" s="11" t="inlineStr">
        <is>
          <t>ערוץ מפיצים</t>
        </is>
      </c>
      <c r="E186" s="11" t="inlineStr">
        <is>
          <t>הוצאות תפעול</t>
        </is>
      </c>
      <c r="F186" s="11" t="inlineStr">
        <is>
          <t>הוצאות משרד</t>
        </is>
      </c>
      <c r="G186" s="12" t="n">
        <v>3304</v>
      </c>
    </row>
    <row r="187">
      <c r="A187" s="10" t="n">
        <v>46152</v>
      </c>
      <c r="B187" s="11" t="inlineStr">
        <is>
          <t>J41183</t>
        </is>
      </c>
      <c r="C187" s="11" t="n">
        <v>5</v>
      </c>
      <c r="D187" s="11" t="inlineStr">
        <is>
          <t>שירות ותמיכה</t>
        </is>
      </c>
      <c r="E187" s="11" t="inlineStr">
        <is>
          <t>הוצאות תפעול</t>
        </is>
      </c>
      <c r="F187" s="11" t="inlineStr">
        <is>
          <t>הוצאות משרד</t>
        </is>
      </c>
      <c r="G187" s="12" t="n">
        <v>1626</v>
      </c>
    </row>
    <row r="188">
      <c r="A188" s="10" t="n">
        <v>46155</v>
      </c>
      <c r="B188" s="11" t="inlineStr">
        <is>
          <t>J41184</t>
        </is>
      </c>
      <c r="C188" s="11" t="n">
        <v>5</v>
      </c>
      <c r="D188" s="11" t="inlineStr">
        <is>
          <t>מכירות ישירות</t>
        </is>
      </c>
      <c r="E188" s="11" t="inlineStr">
        <is>
          <t>הוצאות תפעול</t>
        </is>
      </c>
      <c r="F188" s="11" t="inlineStr">
        <is>
          <t>עמלות סליקה</t>
        </is>
      </c>
      <c r="G188" s="12" t="n">
        <v>6592</v>
      </c>
    </row>
    <row r="189">
      <c r="A189" s="10" t="n">
        <v>46165</v>
      </c>
      <c r="B189" s="11" t="inlineStr">
        <is>
          <t>J41185</t>
        </is>
      </c>
      <c r="C189" s="11" t="n">
        <v>5</v>
      </c>
      <c r="D189" s="11" t="inlineStr">
        <is>
          <t>ערוץ מפיצים</t>
        </is>
      </c>
      <c r="E189" s="11" t="inlineStr">
        <is>
          <t>הוצאות תפעול</t>
        </is>
      </c>
      <c r="F189" s="11" t="inlineStr">
        <is>
          <t>עמלות סליקה</t>
        </is>
      </c>
      <c r="G189" s="12" t="n">
        <v>3423</v>
      </c>
    </row>
    <row r="190">
      <c r="A190" s="10" t="n">
        <v>46151</v>
      </c>
      <c r="B190" s="11" t="inlineStr">
        <is>
          <t>J41186</t>
        </is>
      </c>
      <c r="C190" s="11" t="n">
        <v>5</v>
      </c>
      <c r="D190" s="11" t="inlineStr">
        <is>
          <t>שירות ותמיכה</t>
        </is>
      </c>
      <c r="E190" s="11" t="inlineStr">
        <is>
          <t>הוצאות תפעול</t>
        </is>
      </c>
      <c r="F190" s="11" t="inlineStr">
        <is>
          <t>עמלות סליקה</t>
        </is>
      </c>
      <c r="G190" s="12" t="n">
        <v>1907</v>
      </c>
    </row>
    <row r="191">
      <c r="A191" s="10" t="n">
        <v>46148</v>
      </c>
      <c r="B191" s="11" t="inlineStr">
        <is>
          <t>J41187</t>
        </is>
      </c>
      <c r="C191" s="11" t="n">
        <v>5</v>
      </c>
      <c r="D191" s="11" t="inlineStr">
        <is>
          <t>מכירות ישירות</t>
        </is>
      </c>
      <c r="E191" s="11" t="inlineStr">
        <is>
          <t>הוצאות תפעול</t>
        </is>
      </c>
      <c r="F191" s="11" t="inlineStr">
        <is>
          <t>ייעוץ מקצועי</t>
        </is>
      </c>
      <c r="G191" s="12" t="n">
        <v>8298</v>
      </c>
    </row>
    <row r="192">
      <c r="A192" s="10" t="n">
        <v>46162</v>
      </c>
      <c r="B192" s="11" t="inlineStr">
        <is>
          <t>J41188</t>
        </is>
      </c>
      <c r="C192" s="11" t="n">
        <v>5</v>
      </c>
      <c r="D192" s="11" t="inlineStr">
        <is>
          <t>ערוץ מפיצים</t>
        </is>
      </c>
      <c r="E192" s="11" t="inlineStr">
        <is>
          <t>הוצאות תפעול</t>
        </is>
      </c>
      <c r="F192" s="11" t="inlineStr">
        <is>
          <t>ייעוץ מקצועי</t>
        </is>
      </c>
      <c r="G192" s="12" t="n">
        <v>4371</v>
      </c>
    </row>
    <row r="193">
      <c r="A193" s="10" t="n">
        <v>46158</v>
      </c>
      <c r="B193" s="11" t="inlineStr">
        <is>
          <t>J41189</t>
        </is>
      </c>
      <c r="C193" s="11" t="n">
        <v>5</v>
      </c>
      <c r="D193" s="11" t="inlineStr">
        <is>
          <t>שירות ותמיכה</t>
        </is>
      </c>
      <c r="E193" s="11" t="inlineStr">
        <is>
          <t>הוצאות תפעול</t>
        </is>
      </c>
      <c r="F193" s="11" t="inlineStr">
        <is>
          <t>ייעוץ מקצועי</t>
        </is>
      </c>
      <c r="G193" s="12" t="n">
        <v>2111</v>
      </c>
    </row>
    <row r="194">
      <c r="A194" s="10" t="n">
        <v>46156</v>
      </c>
      <c r="B194" s="11" t="inlineStr">
        <is>
          <t>J41190</t>
        </is>
      </c>
      <c r="C194" s="11" t="n">
        <v>5</v>
      </c>
      <c r="D194" s="11" t="inlineStr">
        <is>
          <t>מכירות ישירות</t>
        </is>
      </c>
      <c r="E194" s="11" t="inlineStr">
        <is>
          <t>הוצאות תפעול</t>
        </is>
      </c>
      <c r="F194" s="11" t="inlineStr">
        <is>
          <t>פחת</t>
        </is>
      </c>
      <c r="G194" s="12" t="n">
        <v>5362</v>
      </c>
    </row>
    <row r="195">
      <c r="A195" s="10" t="n">
        <v>46168</v>
      </c>
      <c r="B195" s="11" t="inlineStr">
        <is>
          <t>J41191</t>
        </is>
      </c>
      <c r="C195" s="11" t="n">
        <v>5</v>
      </c>
      <c r="D195" s="11" t="inlineStr">
        <is>
          <t>ערוץ מפיצים</t>
        </is>
      </c>
      <c r="E195" s="11" t="inlineStr">
        <is>
          <t>הוצאות תפעול</t>
        </is>
      </c>
      <c r="F195" s="11" t="inlineStr">
        <is>
          <t>פחת</t>
        </is>
      </c>
      <c r="G195" s="12" t="n">
        <v>4879</v>
      </c>
    </row>
    <row r="196">
      <c r="A196" s="10" t="n">
        <v>46153</v>
      </c>
      <c r="B196" s="11" t="inlineStr">
        <is>
          <t>J41192</t>
        </is>
      </c>
      <c r="C196" s="11" t="n">
        <v>5</v>
      </c>
      <c r="D196" s="11" t="inlineStr">
        <is>
          <t>שירות ותמיכה</t>
        </is>
      </c>
      <c r="E196" s="11" t="inlineStr">
        <is>
          <t>הוצאות תפעול</t>
        </is>
      </c>
      <c r="F196" s="11" t="inlineStr">
        <is>
          <t>פחת</t>
        </is>
      </c>
      <c r="G196" s="12" t="n">
        <v>4868</v>
      </c>
    </row>
    <row r="197">
      <c r="A197" s="10" t="n">
        <v>46152</v>
      </c>
      <c r="B197" s="11" t="inlineStr">
        <is>
          <t>J41193</t>
        </is>
      </c>
      <c r="C197" s="11" t="n">
        <v>5</v>
      </c>
      <c r="D197" s="11" t="inlineStr">
        <is>
          <t>מכירות ישירות</t>
        </is>
      </c>
      <c r="E197" s="11" t="inlineStr">
        <is>
          <t>הוצאות תפעול</t>
        </is>
      </c>
      <c r="F197" s="11" t="inlineStr">
        <is>
          <t>הוצאות מימון</t>
        </is>
      </c>
      <c r="G197" s="12" t="n">
        <v>2822</v>
      </c>
    </row>
    <row r="198">
      <c r="A198" s="10" t="n">
        <v>46164</v>
      </c>
      <c r="B198" s="11" t="inlineStr">
        <is>
          <t>J41194</t>
        </is>
      </c>
      <c r="C198" s="11" t="n">
        <v>5</v>
      </c>
      <c r="D198" s="11" t="inlineStr">
        <is>
          <t>ערוץ מפיצים</t>
        </is>
      </c>
      <c r="E198" s="11" t="inlineStr">
        <is>
          <t>הוצאות תפעול</t>
        </is>
      </c>
      <c r="F198" s="11" t="inlineStr">
        <is>
          <t>הוצאות מימון</t>
        </is>
      </c>
      <c r="G198" s="12" t="n">
        <v>2656</v>
      </c>
    </row>
    <row r="199">
      <c r="A199" s="10" t="n">
        <v>46157</v>
      </c>
      <c r="B199" s="11" t="inlineStr">
        <is>
          <t>J41195</t>
        </is>
      </c>
      <c r="C199" s="11" t="n">
        <v>5</v>
      </c>
      <c r="D199" s="11" t="inlineStr">
        <is>
          <t>שירות ותמיכה</t>
        </is>
      </c>
      <c r="E199" s="11" t="inlineStr">
        <is>
          <t>הוצאות תפעול</t>
        </is>
      </c>
      <c r="F199" s="11" t="inlineStr">
        <is>
          <t>הוצאות מימון</t>
        </is>
      </c>
      <c r="G199" s="12" t="n">
        <v>2431</v>
      </c>
    </row>
    <row r="200">
      <c r="A200" s="10" t="n">
        <v>46195</v>
      </c>
      <c r="B200" s="11" t="inlineStr">
        <is>
          <t>J41196</t>
        </is>
      </c>
      <c r="C200" s="11" t="n">
        <v>6</v>
      </c>
      <c r="D200" s="11" t="inlineStr">
        <is>
          <t>מכירות ישירות</t>
        </is>
      </c>
      <c r="E200" s="11" t="inlineStr">
        <is>
          <t>הכנסות</t>
        </is>
      </c>
      <c r="F200" s="11" t="inlineStr">
        <is>
          <t>הכנסות ממכירות</t>
        </is>
      </c>
      <c r="G200" s="12" t="n">
        <v>573085</v>
      </c>
    </row>
    <row r="201">
      <c r="A201" s="10" t="n">
        <v>46187</v>
      </c>
      <c r="B201" s="11" t="inlineStr">
        <is>
          <t>J41197</t>
        </is>
      </c>
      <c r="C201" s="11" t="n">
        <v>6</v>
      </c>
      <c r="D201" s="11" t="inlineStr">
        <is>
          <t>ערוץ מפיצים</t>
        </is>
      </c>
      <c r="E201" s="11" t="inlineStr">
        <is>
          <t>הכנסות</t>
        </is>
      </c>
      <c r="F201" s="11" t="inlineStr">
        <is>
          <t>הכנסות ממכירות</t>
        </is>
      </c>
      <c r="G201" s="12" t="n">
        <v>290302</v>
      </c>
    </row>
    <row r="202">
      <c r="A202" s="10" t="n">
        <v>46184</v>
      </c>
      <c r="B202" s="11" t="inlineStr">
        <is>
          <t>J41198</t>
        </is>
      </c>
      <c r="C202" s="11" t="n">
        <v>6</v>
      </c>
      <c r="D202" s="11" t="inlineStr">
        <is>
          <t>שירות ותמיכה</t>
        </is>
      </c>
      <c r="E202" s="11" t="inlineStr">
        <is>
          <t>הכנסות</t>
        </is>
      </c>
      <c r="F202" s="11" t="inlineStr">
        <is>
          <t>הכנסות ממכירות</t>
        </is>
      </c>
      <c r="G202" s="12" t="n">
        <v>156921</v>
      </c>
    </row>
    <row r="203">
      <c r="A203" s="10" t="n">
        <v>46197</v>
      </c>
      <c r="B203" s="11" t="inlineStr">
        <is>
          <t>J41199</t>
        </is>
      </c>
      <c r="C203" s="11" t="n">
        <v>6</v>
      </c>
      <c r="D203" s="11" t="inlineStr">
        <is>
          <t>מכירות ישירות</t>
        </is>
      </c>
      <c r="E203" s="11" t="inlineStr">
        <is>
          <t>הכנסות</t>
        </is>
      </c>
      <c r="F203" s="11" t="inlineStr">
        <is>
          <t>הכנסות משירות</t>
        </is>
      </c>
      <c r="G203" s="12" t="n">
        <v>4932</v>
      </c>
    </row>
    <row r="204">
      <c r="A204" s="10" t="n">
        <v>46193</v>
      </c>
      <c r="B204" s="11" t="inlineStr">
        <is>
          <t>J41200</t>
        </is>
      </c>
      <c r="C204" s="11" t="n">
        <v>6</v>
      </c>
      <c r="D204" s="11" t="inlineStr">
        <is>
          <t>ערוץ מפיצים</t>
        </is>
      </c>
      <c r="E204" s="11" t="inlineStr">
        <is>
          <t>הכנסות</t>
        </is>
      </c>
      <c r="F204" s="11" t="inlineStr">
        <is>
          <t>הכנסות משירות</t>
        </is>
      </c>
      <c r="G204" s="12" t="n">
        <v>5370</v>
      </c>
    </row>
    <row r="205">
      <c r="A205" s="10" t="n">
        <v>46200</v>
      </c>
      <c r="B205" s="11" t="inlineStr">
        <is>
          <t>J41201</t>
        </is>
      </c>
      <c r="C205" s="11" t="n">
        <v>6</v>
      </c>
      <c r="D205" s="11" t="inlineStr">
        <is>
          <t>שירות ותמיכה</t>
        </is>
      </c>
      <c r="E205" s="11" t="inlineStr">
        <is>
          <t>הכנסות</t>
        </is>
      </c>
      <c r="F205" s="11" t="inlineStr">
        <is>
          <t>הכנסות משירות</t>
        </is>
      </c>
      <c r="G205" s="12" t="n">
        <v>89574</v>
      </c>
    </row>
    <row r="206">
      <c r="A206" s="10" t="n">
        <v>46200</v>
      </c>
      <c r="B206" s="11" t="inlineStr">
        <is>
          <t>J41202</t>
        </is>
      </c>
      <c r="C206" s="11" t="n">
        <v>6</v>
      </c>
      <c r="D206" s="11" t="inlineStr">
        <is>
          <t>מכירות ישירות</t>
        </is>
      </c>
      <c r="E206" s="11" t="inlineStr">
        <is>
          <t>עלות המכר</t>
        </is>
      </c>
      <c r="F206" s="11" t="inlineStr">
        <is>
          <t>עלות המכר</t>
        </is>
      </c>
      <c r="G206" s="12" t="n">
        <v>401652</v>
      </c>
    </row>
    <row r="207">
      <c r="A207" s="10" t="n">
        <v>46188</v>
      </c>
      <c r="B207" s="11" t="inlineStr">
        <is>
          <t>J41203</t>
        </is>
      </c>
      <c r="C207" s="11" t="n">
        <v>6</v>
      </c>
      <c r="D207" s="11" t="inlineStr">
        <is>
          <t>ערוץ מפיצים</t>
        </is>
      </c>
      <c r="E207" s="11" t="inlineStr">
        <is>
          <t>עלות המכר</t>
        </is>
      </c>
      <c r="F207" s="11" t="inlineStr">
        <is>
          <t>עלות המכר</t>
        </is>
      </c>
      <c r="G207" s="12" t="n">
        <v>232019</v>
      </c>
    </row>
    <row r="208">
      <c r="A208" s="10" t="n">
        <v>46183</v>
      </c>
      <c r="B208" s="11" t="inlineStr">
        <is>
          <t>J41204</t>
        </is>
      </c>
      <c r="C208" s="11" t="n">
        <v>6</v>
      </c>
      <c r="D208" s="11" t="inlineStr">
        <is>
          <t>שירות ותמיכה</t>
        </is>
      </c>
      <c r="E208" s="11" t="inlineStr">
        <is>
          <t>עלות המכר</t>
        </is>
      </c>
      <c r="F208" s="11" t="inlineStr">
        <is>
          <t>עלות המכר</t>
        </is>
      </c>
      <c r="G208" s="12" t="n">
        <v>106883</v>
      </c>
    </row>
    <row r="209">
      <c r="A209" s="10" t="n">
        <v>46196</v>
      </c>
      <c r="B209" s="11" t="inlineStr">
        <is>
          <t>J41205</t>
        </is>
      </c>
      <c r="C209" s="11" t="n">
        <v>6</v>
      </c>
      <c r="D209" s="11" t="inlineStr">
        <is>
          <t>מכירות ישירות</t>
        </is>
      </c>
      <c r="E209" s="11" t="inlineStr">
        <is>
          <t>הוצאות תפעול</t>
        </is>
      </c>
      <c r="F209" s="11" t="inlineStr">
        <is>
          <t>שכר ונלוות</t>
        </is>
      </c>
      <c r="G209" s="12" t="n">
        <v>106717</v>
      </c>
    </row>
    <row r="210">
      <c r="A210" s="10" t="n">
        <v>46193</v>
      </c>
      <c r="B210" s="11" t="inlineStr">
        <is>
          <t>J41206</t>
        </is>
      </c>
      <c r="C210" s="11" t="n">
        <v>6</v>
      </c>
      <c r="D210" s="11" t="inlineStr">
        <is>
          <t>ערוץ מפיצים</t>
        </is>
      </c>
      <c r="E210" s="11" t="inlineStr">
        <is>
          <t>הוצאות תפעול</t>
        </is>
      </c>
      <c r="F210" s="11" t="inlineStr">
        <is>
          <t>שכר ונלוות</t>
        </is>
      </c>
      <c r="G210" s="12" t="n">
        <v>52414</v>
      </c>
    </row>
    <row r="211">
      <c r="A211" s="10" t="n">
        <v>46179</v>
      </c>
      <c r="B211" s="11" t="inlineStr">
        <is>
          <t>J41207</t>
        </is>
      </c>
      <c r="C211" s="11" t="n">
        <v>6</v>
      </c>
      <c r="D211" s="11" t="inlineStr">
        <is>
          <t>שירות ותמיכה</t>
        </is>
      </c>
      <c r="E211" s="11" t="inlineStr">
        <is>
          <t>הוצאות תפעול</t>
        </is>
      </c>
      <c r="F211" s="11" t="inlineStr">
        <is>
          <t>שכר ונלוות</t>
        </is>
      </c>
      <c r="G211" s="12" t="n">
        <v>29679</v>
      </c>
    </row>
    <row r="212">
      <c r="A212" s="10" t="n">
        <v>46186</v>
      </c>
      <c r="B212" s="11" t="inlineStr">
        <is>
          <t>J41208</t>
        </is>
      </c>
      <c r="C212" s="11" t="n">
        <v>6</v>
      </c>
      <c r="D212" s="11" t="inlineStr">
        <is>
          <t>מכירות ישירות</t>
        </is>
      </c>
      <c r="E212" s="11" t="inlineStr">
        <is>
          <t>הוצאות תפעול</t>
        </is>
      </c>
      <c r="F212" s="11" t="inlineStr">
        <is>
          <t>שכר דירה ואחזקה</t>
        </is>
      </c>
      <c r="G212" s="12" t="n">
        <v>11084</v>
      </c>
    </row>
    <row r="213">
      <c r="A213" s="10" t="n">
        <v>46195</v>
      </c>
      <c r="B213" s="11" t="inlineStr">
        <is>
          <t>J41209</t>
        </is>
      </c>
      <c r="C213" s="11" t="n">
        <v>6</v>
      </c>
      <c r="D213" s="11" t="inlineStr">
        <is>
          <t>ערוץ מפיצים</t>
        </is>
      </c>
      <c r="E213" s="11" t="inlineStr">
        <is>
          <t>הוצאות תפעול</t>
        </is>
      </c>
      <c r="F213" s="11" t="inlineStr">
        <is>
          <t>שכר דירה ואחזקה</t>
        </is>
      </c>
      <c r="G213" s="12" t="n">
        <v>12216</v>
      </c>
    </row>
    <row r="214">
      <c r="A214" s="10" t="n">
        <v>46189</v>
      </c>
      <c r="B214" s="11" t="inlineStr">
        <is>
          <t>J41210</t>
        </is>
      </c>
      <c r="C214" s="11" t="n">
        <v>6</v>
      </c>
      <c r="D214" s="11" t="inlineStr">
        <is>
          <t>שירות ותמיכה</t>
        </is>
      </c>
      <c r="E214" s="11" t="inlineStr">
        <is>
          <t>הוצאות תפעול</t>
        </is>
      </c>
      <c r="F214" s="11" t="inlineStr">
        <is>
          <t>שכר דירה ואחזקה</t>
        </is>
      </c>
      <c r="G214" s="12" t="n">
        <v>12445</v>
      </c>
    </row>
    <row r="215">
      <c r="A215" s="10" t="n">
        <v>46175</v>
      </c>
      <c r="B215" s="11" t="inlineStr">
        <is>
          <t>J41211</t>
        </is>
      </c>
      <c r="C215" s="11" t="n">
        <v>6</v>
      </c>
      <c r="D215" s="11" t="inlineStr">
        <is>
          <t>מכירות ישירות</t>
        </is>
      </c>
      <c r="E215" s="11" t="inlineStr">
        <is>
          <t>הוצאות תפעול</t>
        </is>
      </c>
      <c r="F215" s="11" t="inlineStr">
        <is>
          <t>הוצאות רכב</t>
        </is>
      </c>
      <c r="G215" s="12" t="n">
        <v>13951</v>
      </c>
    </row>
    <row r="216">
      <c r="A216" s="10" t="n">
        <v>46196</v>
      </c>
      <c r="B216" s="11" t="inlineStr">
        <is>
          <t>J41212</t>
        </is>
      </c>
      <c r="C216" s="11" t="n">
        <v>6</v>
      </c>
      <c r="D216" s="11" t="inlineStr">
        <is>
          <t>ערוץ מפיצים</t>
        </is>
      </c>
      <c r="E216" s="11" t="inlineStr">
        <is>
          <t>הוצאות תפעול</t>
        </is>
      </c>
      <c r="F216" s="11" t="inlineStr">
        <is>
          <t>הוצאות רכב</t>
        </is>
      </c>
      <c r="G216" s="12" t="n">
        <v>7210</v>
      </c>
    </row>
    <row r="217">
      <c r="A217" s="10" t="n">
        <v>46178</v>
      </c>
      <c r="B217" s="11" t="inlineStr">
        <is>
          <t>J41213</t>
        </is>
      </c>
      <c r="C217" s="11" t="n">
        <v>6</v>
      </c>
      <c r="D217" s="11" t="inlineStr">
        <is>
          <t>שירות ותמיכה</t>
        </is>
      </c>
      <c r="E217" s="11" t="inlineStr">
        <is>
          <t>הוצאות תפעול</t>
        </is>
      </c>
      <c r="F217" s="11" t="inlineStr">
        <is>
          <t>הוצאות רכב</t>
        </is>
      </c>
      <c r="G217" s="12" t="n">
        <v>3333</v>
      </c>
    </row>
    <row r="218">
      <c r="A218" s="10" t="n">
        <v>46176</v>
      </c>
      <c r="B218" s="11" t="inlineStr">
        <is>
          <t>J41214</t>
        </is>
      </c>
      <c r="C218" s="11" t="n">
        <v>6</v>
      </c>
      <c r="D218" s="11" t="inlineStr">
        <is>
          <t>מכירות ישירות</t>
        </is>
      </c>
      <c r="E218" s="11" t="inlineStr">
        <is>
          <t>הוצאות תפעול</t>
        </is>
      </c>
      <c r="F218" s="11" t="inlineStr">
        <is>
          <t>פרסום ושיווק</t>
        </is>
      </c>
      <c r="G218" s="12" t="n">
        <v>21479</v>
      </c>
    </row>
    <row r="219">
      <c r="A219" s="10" t="n">
        <v>46187</v>
      </c>
      <c r="B219" s="11" t="inlineStr">
        <is>
          <t>J41215</t>
        </is>
      </c>
      <c r="C219" s="11" t="n">
        <v>6</v>
      </c>
      <c r="D219" s="11" t="inlineStr">
        <is>
          <t>ערוץ מפיצים</t>
        </is>
      </c>
      <c r="E219" s="11" t="inlineStr">
        <is>
          <t>הוצאות תפעול</t>
        </is>
      </c>
      <c r="F219" s="11" t="inlineStr">
        <is>
          <t>פרסום ושיווק</t>
        </is>
      </c>
      <c r="G219" s="12" t="n">
        <v>10837</v>
      </c>
    </row>
    <row r="220">
      <c r="A220" s="10" t="n">
        <v>46197</v>
      </c>
      <c r="B220" s="11" t="inlineStr">
        <is>
          <t>J41216</t>
        </is>
      </c>
      <c r="C220" s="11" t="n">
        <v>6</v>
      </c>
      <c r="D220" s="11" t="inlineStr">
        <is>
          <t>שירות ותמיכה</t>
        </is>
      </c>
      <c r="E220" s="11" t="inlineStr">
        <is>
          <t>הוצאות תפעול</t>
        </is>
      </c>
      <c r="F220" s="11" t="inlineStr">
        <is>
          <t>פרסום ושיווק</t>
        </is>
      </c>
      <c r="G220" s="12" t="n">
        <v>5333</v>
      </c>
    </row>
    <row r="221">
      <c r="A221" s="10" t="n">
        <v>46176</v>
      </c>
      <c r="B221" s="11" t="inlineStr">
        <is>
          <t>J41217</t>
        </is>
      </c>
      <c r="C221" s="11" t="n">
        <v>6</v>
      </c>
      <c r="D221" s="11" t="inlineStr">
        <is>
          <t>מכירות ישירות</t>
        </is>
      </c>
      <c r="E221" s="11" t="inlineStr">
        <is>
          <t>הוצאות תפעול</t>
        </is>
      </c>
      <c r="F221" s="11" t="inlineStr">
        <is>
          <t>כיבודים ואירוח</t>
        </is>
      </c>
      <c r="G221" s="12" t="n">
        <v>2737</v>
      </c>
    </row>
    <row r="222">
      <c r="A222" s="10" t="n">
        <v>46193</v>
      </c>
      <c r="B222" s="11" t="inlineStr">
        <is>
          <t>J41218</t>
        </is>
      </c>
      <c r="C222" s="11" t="n">
        <v>6</v>
      </c>
      <c r="D222" s="11" t="inlineStr">
        <is>
          <t>ערוץ מפיצים</t>
        </is>
      </c>
      <c r="E222" s="11" t="inlineStr">
        <is>
          <t>הוצאות תפעול</t>
        </is>
      </c>
      <c r="F222" s="11" t="inlineStr">
        <is>
          <t>כיבודים ואירוח</t>
        </is>
      </c>
      <c r="G222" s="12" t="n">
        <v>1751</v>
      </c>
    </row>
    <row r="223">
      <c r="A223" s="10" t="n">
        <v>46182</v>
      </c>
      <c r="B223" s="11" t="inlineStr">
        <is>
          <t>J41219</t>
        </is>
      </c>
      <c r="C223" s="11" t="n">
        <v>6</v>
      </c>
      <c r="D223" s="11" t="inlineStr">
        <is>
          <t>שירות ותמיכה</t>
        </is>
      </c>
      <c r="E223" s="11" t="inlineStr">
        <is>
          <t>הוצאות תפעול</t>
        </is>
      </c>
      <c r="F223" s="11" t="inlineStr">
        <is>
          <t>כיבודים ואירוח</t>
        </is>
      </c>
      <c r="G223" s="12" t="n">
        <v>837</v>
      </c>
    </row>
    <row r="224">
      <c r="A224" s="10" t="n">
        <v>46191</v>
      </c>
      <c r="B224" s="11" t="inlineStr">
        <is>
          <t>J41220</t>
        </is>
      </c>
      <c r="C224" s="11" t="n">
        <v>6</v>
      </c>
      <c r="D224" s="11" t="inlineStr">
        <is>
          <t>מכירות ישירות</t>
        </is>
      </c>
      <c r="E224" s="11" t="inlineStr">
        <is>
          <t>הוצאות תפעול</t>
        </is>
      </c>
      <c r="F224" s="11" t="inlineStr">
        <is>
          <t>הוצאות משרד</t>
        </is>
      </c>
      <c r="G224" s="12" t="n">
        <v>5748</v>
      </c>
    </row>
    <row r="225">
      <c r="A225" s="10" t="n">
        <v>46192</v>
      </c>
      <c r="B225" s="11" t="inlineStr">
        <is>
          <t>J41221</t>
        </is>
      </c>
      <c r="C225" s="11" t="n">
        <v>6</v>
      </c>
      <c r="D225" s="11" t="inlineStr">
        <is>
          <t>ערוץ מפיצים</t>
        </is>
      </c>
      <c r="E225" s="11" t="inlineStr">
        <is>
          <t>הוצאות תפעול</t>
        </is>
      </c>
      <c r="F225" s="11" t="inlineStr">
        <is>
          <t>הוצאות משרד</t>
        </is>
      </c>
      <c r="G225" s="12" t="n">
        <v>3047</v>
      </c>
    </row>
    <row r="226">
      <c r="A226" s="10" t="n">
        <v>46195</v>
      </c>
      <c r="B226" s="11" t="inlineStr">
        <is>
          <t>J41222</t>
        </is>
      </c>
      <c r="C226" s="11" t="n">
        <v>6</v>
      </c>
      <c r="D226" s="11" t="inlineStr">
        <is>
          <t>שירות ותמיכה</t>
        </is>
      </c>
      <c r="E226" s="11" t="inlineStr">
        <is>
          <t>הוצאות תפעול</t>
        </is>
      </c>
      <c r="F226" s="11" t="inlineStr">
        <is>
          <t>הוצאות משרד</t>
        </is>
      </c>
      <c r="G226" s="12" t="n">
        <v>1776</v>
      </c>
    </row>
    <row r="227">
      <c r="A227" s="10" t="n">
        <v>46183</v>
      </c>
      <c r="B227" s="11" t="inlineStr">
        <is>
          <t>J41223</t>
        </is>
      </c>
      <c r="C227" s="11" t="n">
        <v>6</v>
      </c>
      <c r="D227" s="11" t="inlineStr">
        <is>
          <t>מכירות ישירות</t>
        </is>
      </c>
      <c r="E227" s="11" t="inlineStr">
        <is>
          <t>הוצאות תפעול</t>
        </is>
      </c>
      <c r="F227" s="11" t="inlineStr">
        <is>
          <t>עמלות סליקה</t>
        </is>
      </c>
      <c r="G227" s="12" t="n">
        <v>7330</v>
      </c>
    </row>
    <row r="228">
      <c r="A228" s="10" t="n">
        <v>46182</v>
      </c>
      <c r="B228" s="11" t="inlineStr">
        <is>
          <t>J41224</t>
        </is>
      </c>
      <c r="C228" s="11" t="n">
        <v>6</v>
      </c>
      <c r="D228" s="11" t="inlineStr">
        <is>
          <t>ערוץ מפיצים</t>
        </is>
      </c>
      <c r="E228" s="11" t="inlineStr">
        <is>
          <t>הוצאות תפעול</t>
        </is>
      </c>
      <c r="F228" s="11" t="inlineStr">
        <is>
          <t>עמלות סליקה</t>
        </is>
      </c>
      <c r="G228" s="12" t="n">
        <v>3939</v>
      </c>
    </row>
    <row r="229">
      <c r="A229" s="10" t="n">
        <v>46178</v>
      </c>
      <c r="B229" s="11" t="inlineStr">
        <is>
          <t>J41225</t>
        </is>
      </c>
      <c r="C229" s="11" t="n">
        <v>6</v>
      </c>
      <c r="D229" s="11" t="inlineStr">
        <is>
          <t>שירות ותמיכה</t>
        </is>
      </c>
      <c r="E229" s="11" t="inlineStr">
        <is>
          <t>הוצאות תפעול</t>
        </is>
      </c>
      <c r="F229" s="11" t="inlineStr">
        <is>
          <t>עמלות סליקה</t>
        </is>
      </c>
      <c r="G229" s="12" t="n">
        <v>2218</v>
      </c>
    </row>
    <row r="230">
      <c r="A230" s="10" t="n">
        <v>46177</v>
      </c>
      <c r="B230" s="11" t="inlineStr">
        <is>
          <t>J41226</t>
        </is>
      </c>
      <c r="C230" s="11" t="n">
        <v>6</v>
      </c>
      <c r="D230" s="11" t="inlineStr">
        <is>
          <t>מכירות ישירות</t>
        </is>
      </c>
      <c r="E230" s="11" t="inlineStr">
        <is>
          <t>הוצאות תפעול</t>
        </is>
      </c>
      <c r="F230" s="11" t="inlineStr">
        <is>
          <t>ייעוץ מקצועי</t>
        </is>
      </c>
      <c r="G230" s="12" t="n">
        <v>8829</v>
      </c>
    </row>
    <row r="231">
      <c r="A231" s="10" t="n">
        <v>46179</v>
      </c>
      <c r="B231" s="11" t="inlineStr">
        <is>
          <t>J41227</t>
        </is>
      </c>
      <c r="C231" s="11" t="n">
        <v>6</v>
      </c>
      <c r="D231" s="11" t="inlineStr">
        <is>
          <t>ערוץ מפיצים</t>
        </is>
      </c>
      <c r="E231" s="11" t="inlineStr">
        <is>
          <t>הוצאות תפעול</t>
        </is>
      </c>
      <c r="F231" s="11" t="inlineStr">
        <is>
          <t>ייעוץ מקצועי</t>
        </is>
      </c>
      <c r="G231" s="12" t="n">
        <v>4373</v>
      </c>
    </row>
    <row r="232">
      <c r="A232" s="10" t="n">
        <v>46190</v>
      </c>
      <c r="B232" s="11" t="inlineStr">
        <is>
          <t>J41228</t>
        </is>
      </c>
      <c r="C232" s="11" t="n">
        <v>6</v>
      </c>
      <c r="D232" s="11" t="inlineStr">
        <is>
          <t>שירות ותמיכה</t>
        </is>
      </c>
      <c r="E232" s="11" t="inlineStr">
        <is>
          <t>הוצאות תפעול</t>
        </is>
      </c>
      <c r="F232" s="11" t="inlineStr">
        <is>
          <t>ייעוץ מקצועי</t>
        </is>
      </c>
      <c r="G232" s="12" t="n">
        <v>2361</v>
      </c>
    </row>
    <row r="233">
      <c r="A233" s="10" t="n">
        <v>46189</v>
      </c>
      <c r="B233" s="11" t="inlineStr">
        <is>
          <t>J41229</t>
        </is>
      </c>
      <c r="C233" s="11" t="n">
        <v>6</v>
      </c>
      <c r="D233" s="11" t="inlineStr">
        <is>
          <t>מכירות ישירות</t>
        </is>
      </c>
      <c r="E233" s="11" t="inlineStr">
        <is>
          <t>הוצאות תפעול</t>
        </is>
      </c>
      <c r="F233" s="11" t="inlineStr">
        <is>
          <t>פחת</t>
        </is>
      </c>
      <c r="G233" s="12" t="n">
        <v>5100</v>
      </c>
    </row>
    <row r="234">
      <c r="A234" s="10" t="n">
        <v>46192</v>
      </c>
      <c r="B234" s="11" t="inlineStr">
        <is>
          <t>J41230</t>
        </is>
      </c>
      <c r="C234" s="11" t="n">
        <v>6</v>
      </c>
      <c r="D234" s="11" t="inlineStr">
        <is>
          <t>ערוץ מפיצים</t>
        </is>
      </c>
      <c r="E234" s="11" t="inlineStr">
        <is>
          <t>הוצאות תפעול</t>
        </is>
      </c>
      <c r="F234" s="11" t="inlineStr">
        <is>
          <t>פחת</t>
        </is>
      </c>
      <c r="G234" s="12" t="n">
        <v>5610</v>
      </c>
    </row>
    <row r="235">
      <c r="A235" s="10" t="n">
        <v>46198</v>
      </c>
      <c r="B235" s="11" t="inlineStr">
        <is>
          <t>J41231</t>
        </is>
      </c>
      <c r="C235" s="11" t="n">
        <v>6</v>
      </c>
      <c r="D235" s="11" t="inlineStr">
        <is>
          <t>שירות ותמיכה</t>
        </is>
      </c>
      <c r="E235" s="11" t="inlineStr">
        <is>
          <t>הוצאות תפעול</t>
        </is>
      </c>
      <c r="F235" s="11" t="inlineStr">
        <is>
          <t>פחת</t>
        </is>
      </c>
      <c r="G235" s="12" t="n">
        <v>5361</v>
      </c>
    </row>
    <row r="236">
      <c r="A236" s="10" t="n">
        <v>46192</v>
      </c>
      <c r="B236" s="11" t="inlineStr">
        <is>
          <t>J41232</t>
        </is>
      </c>
      <c r="C236" s="11" t="n">
        <v>6</v>
      </c>
      <c r="D236" s="11" t="inlineStr">
        <is>
          <t>מכירות ישירות</t>
        </is>
      </c>
      <c r="E236" s="11" t="inlineStr">
        <is>
          <t>הוצאות תפעול</t>
        </is>
      </c>
      <c r="F236" s="11" t="inlineStr">
        <is>
          <t>הוצאות מימון</t>
        </is>
      </c>
      <c r="G236" s="12" t="n">
        <v>2872</v>
      </c>
    </row>
    <row r="237">
      <c r="A237" s="10" t="n">
        <v>46194</v>
      </c>
      <c r="B237" s="11" t="inlineStr">
        <is>
          <t>J41233</t>
        </is>
      </c>
      <c r="C237" s="11" t="n">
        <v>6</v>
      </c>
      <c r="D237" s="11" t="inlineStr">
        <is>
          <t>ערוץ מפיצים</t>
        </is>
      </c>
      <c r="E237" s="11" t="inlineStr">
        <is>
          <t>הוצאות תפעול</t>
        </is>
      </c>
      <c r="F237" s="11" t="inlineStr">
        <is>
          <t>הוצאות מימון</t>
        </is>
      </c>
      <c r="G237" s="12" t="n">
        <v>2625</v>
      </c>
    </row>
    <row r="238">
      <c r="A238" s="10" t="n">
        <v>46187</v>
      </c>
      <c r="B238" s="11" t="inlineStr">
        <is>
          <t>J41234</t>
        </is>
      </c>
      <c r="C238" s="11" t="n">
        <v>6</v>
      </c>
      <c r="D238" s="11" t="inlineStr">
        <is>
          <t>שירות ותמיכה</t>
        </is>
      </c>
      <c r="E238" s="11" t="inlineStr">
        <is>
          <t>הוצאות תפעול</t>
        </is>
      </c>
      <c r="F238" s="11" t="inlineStr">
        <is>
          <t>הוצאות מימון</t>
        </is>
      </c>
      <c r="G238" s="12" t="n">
        <v>2656</v>
      </c>
    </row>
    <row r="239">
      <c r="A239" s="10" t="n">
        <v>46223</v>
      </c>
      <c r="B239" s="11" t="inlineStr">
        <is>
          <t>J41235</t>
        </is>
      </c>
      <c r="C239" s="11" t="n">
        <v>7</v>
      </c>
      <c r="D239" s="11" t="inlineStr">
        <is>
          <t>מכירות ישירות</t>
        </is>
      </c>
      <c r="E239" s="11" t="inlineStr">
        <is>
          <t>הכנסות</t>
        </is>
      </c>
      <c r="F239" s="11" t="inlineStr">
        <is>
          <t>הכנסות ממכירות</t>
        </is>
      </c>
      <c r="G239" s="12" t="n">
        <v>451537</v>
      </c>
    </row>
    <row r="240">
      <c r="A240" s="10" t="n">
        <v>46209</v>
      </c>
      <c r="B240" s="11" t="inlineStr">
        <is>
          <t>J41236</t>
        </is>
      </c>
      <c r="C240" s="11" t="n">
        <v>7</v>
      </c>
      <c r="D240" s="11" t="inlineStr">
        <is>
          <t>ערוץ מפיצים</t>
        </is>
      </c>
      <c r="E240" s="11" t="inlineStr">
        <is>
          <t>הכנסות</t>
        </is>
      </c>
      <c r="F240" s="11" t="inlineStr">
        <is>
          <t>הכנסות ממכירות</t>
        </is>
      </c>
      <c r="G240" s="12" t="n">
        <v>266930</v>
      </c>
    </row>
    <row r="241">
      <c r="A241" s="10" t="n">
        <v>46211</v>
      </c>
      <c r="B241" s="11" t="inlineStr">
        <is>
          <t>J41237</t>
        </is>
      </c>
      <c r="C241" s="11" t="n">
        <v>7</v>
      </c>
      <c r="D241" s="11" t="inlineStr">
        <is>
          <t>שירות ותמיכה</t>
        </is>
      </c>
      <c r="E241" s="11" t="inlineStr">
        <is>
          <t>הכנסות</t>
        </is>
      </c>
      <c r="F241" s="11" t="inlineStr">
        <is>
          <t>הכנסות ממכירות</t>
        </is>
      </c>
      <c r="G241" s="12" t="n">
        <v>144757</v>
      </c>
    </row>
    <row r="242">
      <c r="A242" s="10" t="n">
        <v>46215</v>
      </c>
      <c r="B242" s="11" t="inlineStr">
        <is>
          <t>J41238</t>
        </is>
      </c>
      <c r="C242" s="11" t="n">
        <v>7</v>
      </c>
      <c r="D242" s="11" t="inlineStr">
        <is>
          <t>מכירות ישירות</t>
        </is>
      </c>
      <c r="E242" s="11" t="inlineStr">
        <is>
          <t>הכנסות</t>
        </is>
      </c>
      <c r="F242" s="11" t="inlineStr">
        <is>
          <t>הכנסות משירות</t>
        </is>
      </c>
      <c r="G242" s="12" t="n">
        <v>3913</v>
      </c>
    </row>
    <row r="243">
      <c r="A243" s="10" t="n">
        <v>46206</v>
      </c>
      <c r="B243" s="11" t="inlineStr">
        <is>
          <t>J41239</t>
        </is>
      </c>
      <c r="C243" s="11" t="n">
        <v>7</v>
      </c>
      <c r="D243" s="11" t="inlineStr">
        <is>
          <t>ערוץ מפיצים</t>
        </is>
      </c>
      <c r="E243" s="11" t="inlineStr">
        <is>
          <t>הכנסות</t>
        </is>
      </c>
      <c r="F243" s="11" t="inlineStr">
        <is>
          <t>הכנסות משירות</t>
        </is>
      </c>
      <c r="G243" s="12" t="n">
        <v>4175</v>
      </c>
    </row>
    <row r="244">
      <c r="A244" s="10" t="n">
        <v>46216</v>
      </c>
      <c r="B244" s="11" t="inlineStr">
        <is>
          <t>J41240</t>
        </is>
      </c>
      <c r="C244" s="11" t="n">
        <v>7</v>
      </c>
      <c r="D244" s="11" t="inlineStr">
        <is>
          <t>שירות ותמיכה</t>
        </is>
      </c>
      <c r="E244" s="11" t="inlineStr">
        <is>
          <t>הכנסות</t>
        </is>
      </c>
      <c r="F244" s="11" t="inlineStr">
        <is>
          <t>הכנסות משירות</t>
        </is>
      </c>
      <c r="G244" s="12" t="n">
        <v>84809</v>
      </c>
    </row>
    <row r="245">
      <c r="A245" s="10" t="n">
        <v>46217</v>
      </c>
      <c r="B245" s="11" t="inlineStr">
        <is>
          <t>J41241</t>
        </is>
      </c>
      <c r="C245" s="11" t="n">
        <v>7</v>
      </c>
      <c r="D245" s="11" t="inlineStr">
        <is>
          <t>מכירות ישירות</t>
        </is>
      </c>
      <c r="E245" s="11" t="inlineStr">
        <is>
          <t>עלות המכר</t>
        </is>
      </c>
      <c r="F245" s="11" t="inlineStr">
        <is>
          <t>עלות המכר</t>
        </is>
      </c>
      <c r="G245" s="12" t="n">
        <v>358803</v>
      </c>
    </row>
    <row r="246">
      <c r="A246" s="10" t="n">
        <v>46219</v>
      </c>
      <c r="B246" s="11" t="inlineStr">
        <is>
          <t>J41242</t>
        </is>
      </c>
      <c r="C246" s="11" t="n">
        <v>7</v>
      </c>
      <c r="D246" s="11" t="inlineStr">
        <is>
          <t>ערוץ מפיצים</t>
        </is>
      </c>
      <c r="E246" s="11" t="inlineStr">
        <is>
          <t>עלות המכר</t>
        </is>
      </c>
      <c r="F246" s="11" t="inlineStr">
        <is>
          <t>עלות המכר</t>
        </is>
      </c>
      <c r="G246" s="12" t="n">
        <v>173956</v>
      </c>
    </row>
    <row r="247">
      <c r="A247" s="10" t="n">
        <v>46226</v>
      </c>
      <c r="B247" s="11" t="inlineStr">
        <is>
          <t>J41243</t>
        </is>
      </c>
      <c r="C247" s="11" t="n">
        <v>7</v>
      </c>
      <c r="D247" s="11" t="inlineStr">
        <is>
          <t>שירות ותמיכה</t>
        </is>
      </c>
      <c r="E247" s="11" t="inlineStr">
        <is>
          <t>עלות המכר</t>
        </is>
      </c>
      <c r="F247" s="11" t="inlineStr">
        <is>
          <t>עלות המכר</t>
        </is>
      </c>
      <c r="G247" s="12" t="n">
        <v>94837</v>
      </c>
    </row>
    <row r="248">
      <c r="A248" s="10" t="n">
        <v>46228</v>
      </c>
      <c r="B248" s="11" t="inlineStr">
        <is>
          <t>J41244</t>
        </is>
      </c>
      <c r="C248" s="11" t="n">
        <v>7</v>
      </c>
      <c r="D248" s="11" t="inlineStr">
        <is>
          <t>מכירות ישירות</t>
        </is>
      </c>
      <c r="E248" s="11" t="inlineStr">
        <is>
          <t>הוצאות תפעול</t>
        </is>
      </c>
      <c r="F248" s="11" t="inlineStr">
        <is>
          <t>שכר ונלוות</t>
        </is>
      </c>
      <c r="G248" s="12" t="n">
        <v>76876</v>
      </c>
    </row>
    <row r="249">
      <c r="A249" s="10" t="n">
        <v>46207</v>
      </c>
      <c r="B249" s="11" t="inlineStr">
        <is>
          <t>J41245</t>
        </is>
      </c>
      <c r="C249" s="11" t="n">
        <v>7</v>
      </c>
      <c r="D249" s="11" t="inlineStr">
        <is>
          <t>ערוץ מפיצים</t>
        </is>
      </c>
      <c r="E249" s="11" t="inlineStr">
        <is>
          <t>הוצאות תפעול</t>
        </is>
      </c>
      <c r="F249" s="11" t="inlineStr">
        <is>
          <t>שכר ונלוות</t>
        </is>
      </c>
      <c r="G249" s="12" t="n">
        <v>47180</v>
      </c>
    </row>
    <row r="250">
      <c r="A250" s="10" t="n">
        <v>46227</v>
      </c>
      <c r="B250" s="11" t="inlineStr">
        <is>
          <t>J41246</t>
        </is>
      </c>
      <c r="C250" s="11" t="n">
        <v>7</v>
      </c>
      <c r="D250" s="11" t="inlineStr">
        <is>
          <t>שירות ותמיכה</t>
        </is>
      </c>
      <c r="E250" s="11" t="inlineStr">
        <is>
          <t>הוצאות תפעול</t>
        </is>
      </c>
      <c r="F250" s="11" t="inlineStr">
        <is>
          <t>שכר ונלוות</t>
        </is>
      </c>
      <c r="G250" s="12" t="n">
        <v>23108</v>
      </c>
    </row>
    <row r="251">
      <c r="A251" s="10" t="n">
        <v>46226</v>
      </c>
      <c r="B251" s="11" t="inlineStr">
        <is>
          <t>J41247</t>
        </is>
      </c>
      <c r="C251" s="11" t="n">
        <v>7</v>
      </c>
      <c r="D251" s="11" t="inlineStr">
        <is>
          <t>מכירות ישירות</t>
        </is>
      </c>
      <c r="E251" s="11" t="inlineStr">
        <is>
          <t>הוצאות תפעול</t>
        </is>
      </c>
      <c r="F251" s="11" t="inlineStr">
        <is>
          <t>שכר דירה ואחזקה</t>
        </is>
      </c>
      <c r="G251" s="12" t="n">
        <v>10129</v>
      </c>
    </row>
    <row r="252">
      <c r="A252" s="10" t="n">
        <v>46228</v>
      </c>
      <c r="B252" s="11" t="inlineStr">
        <is>
          <t>J41248</t>
        </is>
      </c>
      <c r="C252" s="11" t="n">
        <v>7</v>
      </c>
      <c r="D252" s="11" t="inlineStr">
        <is>
          <t>ערוץ מפיצים</t>
        </is>
      </c>
      <c r="E252" s="11" t="inlineStr">
        <is>
          <t>הוצאות תפעול</t>
        </is>
      </c>
      <c r="F252" s="11" t="inlineStr">
        <is>
          <t>שכר דירה ואחזקה</t>
        </is>
      </c>
      <c r="G252" s="12" t="n">
        <v>9698</v>
      </c>
    </row>
    <row r="253">
      <c r="A253" s="10" t="n">
        <v>46225</v>
      </c>
      <c r="B253" s="11" t="inlineStr">
        <is>
          <t>J41249</t>
        </is>
      </c>
      <c r="C253" s="11" t="n">
        <v>7</v>
      </c>
      <c r="D253" s="11" t="inlineStr">
        <is>
          <t>שירות ותמיכה</t>
        </is>
      </c>
      <c r="E253" s="11" t="inlineStr">
        <is>
          <t>הוצאות תפעול</t>
        </is>
      </c>
      <c r="F253" s="11" t="inlineStr">
        <is>
          <t>שכר דירה ואחזקה</t>
        </is>
      </c>
      <c r="G253" s="12" t="n">
        <v>9597</v>
      </c>
    </row>
    <row r="254">
      <c r="A254" s="10" t="n">
        <v>46208</v>
      </c>
      <c r="B254" s="11" t="inlineStr">
        <is>
          <t>J41250</t>
        </is>
      </c>
      <c r="C254" s="11" t="n">
        <v>7</v>
      </c>
      <c r="D254" s="11" t="inlineStr">
        <is>
          <t>מכירות ישירות</t>
        </is>
      </c>
      <c r="E254" s="11" t="inlineStr">
        <is>
          <t>הוצאות תפעול</t>
        </is>
      </c>
      <c r="F254" s="11" t="inlineStr">
        <is>
          <t>הוצאות רכב</t>
        </is>
      </c>
      <c r="G254" s="12" t="n">
        <v>10737</v>
      </c>
    </row>
    <row r="255">
      <c r="A255" s="10" t="n">
        <v>46208</v>
      </c>
      <c r="B255" s="11" t="inlineStr">
        <is>
          <t>J41251</t>
        </is>
      </c>
      <c r="C255" s="11" t="n">
        <v>7</v>
      </c>
      <c r="D255" s="11" t="inlineStr">
        <is>
          <t>ערוץ מפיצים</t>
        </is>
      </c>
      <c r="E255" s="11" t="inlineStr">
        <is>
          <t>הוצאות תפעול</t>
        </is>
      </c>
      <c r="F255" s="11" t="inlineStr">
        <is>
          <t>הוצאות רכב</t>
        </is>
      </c>
      <c r="G255" s="12" t="n">
        <v>6392</v>
      </c>
    </row>
    <row r="256">
      <c r="A256" s="10" t="n">
        <v>46218</v>
      </c>
      <c r="B256" s="11" t="inlineStr">
        <is>
          <t>J41252</t>
        </is>
      </c>
      <c r="C256" s="11" t="n">
        <v>7</v>
      </c>
      <c r="D256" s="11" t="inlineStr">
        <is>
          <t>שירות ותמיכה</t>
        </is>
      </c>
      <c r="E256" s="11" t="inlineStr">
        <is>
          <t>הוצאות תפעול</t>
        </is>
      </c>
      <c r="F256" s="11" t="inlineStr">
        <is>
          <t>הוצאות רכב</t>
        </is>
      </c>
      <c r="G256" s="12" t="n">
        <v>3170</v>
      </c>
    </row>
    <row r="257">
      <c r="A257" s="10" t="n">
        <v>46222</v>
      </c>
      <c r="B257" s="11" t="inlineStr">
        <is>
          <t>J41253</t>
        </is>
      </c>
      <c r="C257" s="11" t="n">
        <v>7</v>
      </c>
      <c r="D257" s="11" t="inlineStr">
        <is>
          <t>מכירות ישירות</t>
        </is>
      </c>
      <c r="E257" s="11" t="inlineStr">
        <is>
          <t>הוצאות תפעול</t>
        </is>
      </c>
      <c r="F257" s="11" t="inlineStr">
        <is>
          <t>פרסום ושיווק</t>
        </is>
      </c>
      <c r="G257" s="12" t="n">
        <v>17515</v>
      </c>
    </row>
    <row r="258">
      <c r="A258" s="10" t="n">
        <v>46217</v>
      </c>
      <c r="B258" s="11" t="inlineStr">
        <is>
          <t>J41254</t>
        </is>
      </c>
      <c r="C258" s="11" t="n">
        <v>7</v>
      </c>
      <c r="D258" s="11" t="inlineStr">
        <is>
          <t>ערוץ מפיצים</t>
        </is>
      </c>
      <c r="E258" s="11" t="inlineStr">
        <is>
          <t>הוצאות תפעול</t>
        </is>
      </c>
      <c r="F258" s="11" t="inlineStr">
        <is>
          <t>פרסום ושיווק</t>
        </is>
      </c>
      <c r="G258" s="12" t="n">
        <v>9740</v>
      </c>
    </row>
    <row r="259">
      <c r="A259" s="10" t="n">
        <v>46208</v>
      </c>
      <c r="B259" s="11" t="inlineStr">
        <is>
          <t>J41255</t>
        </is>
      </c>
      <c r="C259" s="11" t="n">
        <v>7</v>
      </c>
      <c r="D259" s="11" t="inlineStr">
        <is>
          <t>שירות ותמיכה</t>
        </is>
      </c>
      <c r="E259" s="11" t="inlineStr">
        <is>
          <t>הוצאות תפעול</t>
        </is>
      </c>
      <c r="F259" s="11" t="inlineStr">
        <is>
          <t>פרסום ושיווק</t>
        </is>
      </c>
      <c r="G259" s="12" t="n">
        <v>4812</v>
      </c>
    </row>
    <row r="260">
      <c r="A260" s="10" t="n">
        <v>46230</v>
      </c>
      <c r="B260" s="11" t="inlineStr">
        <is>
          <t>J41256</t>
        </is>
      </c>
      <c r="C260" s="11" t="n">
        <v>7</v>
      </c>
      <c r="D260" s="11" t="inlineStr">
        <is>
          <t>מכירות ישירות</t>
        </is>
      </c>
      <c r="E260" s="11" t="inlineStr">
        <is>
          <t>הוצאות תפעול</t>
        </is>
      </c>
      <c r="F260" s="11" t="inlineStr">
        <is>
          <t>כיבודים ואירוח</t>
        </is>
      </c>
      <c r="G260" s="12" t="n">
        <v>2672</v>
      </c>
    </row>
    <row r="261">
      <c r="A261" s="10" t="n">
        <v>46227</v>
      </c>
      <c r="B261" s="11" t="inlineStr">
        <is>
          <t>J41257</t>
        </is>
      </c>
      <c r="C261" s="11" t="n">
        <v>7</v>
      </c>
      <c r="D261" s="11" t="inlineStr">
        <is>
          <t>ערוץ מפיצים</t>
        </is>
      </c>
      <c r="E261" s="11" t="inlineStr">
        <is>
          <t>הוצאות תפעול</t>
        </is>
      </c>
      <c r="F261" s="11" t="inlineStr">
        <is>
          <t>כיבודים ואירוח</t>
        </is>
      </c>
      <c r="G261" s="12" t="n">
        <v>1435</v>
      </c>
    </row>
    <row r="262">
      <c r="A262" s="10" t="n">
        <v>46230</v>
      </c>
      <c r="B262" s="11" t="inlineStr">
        <is>
          <t>J41258</t>
        </is>
      </c>
      <c r="C262" s="11" t="n">
        <v>7</v>
      </c>
      <c r="D262" s="11" t="inlineStr">
        <is>
          <t>שירות ותמיכה</t>
        </is>
      </c>
      <c r="E262" s="11" t="inlineStr">
        <is>
          <t>הוצאות תפעול</t>
        </is>
      </c>
      <c r="F262" s="11" t="inlineStr">
        <is>
          <t>כיבודים ואירוח</t>
        </is>
      </c>
      <c r="G262" s="12" t="n">
        <v>626</v>
      </c>
    </row>
    <row r="263">
      <c r="A263" s="10" t="n">
        <v>46224</v>
      </c>
      <c r="B263" s="11" t="inlineStr">
        <is>
          <t>J41259</t>
        </is>
      </c>
      <c r="C263" s="11" t="n">
        <v>7</v>
      </c>
      <c r="D263" s="11" t="inlineStr">
        <is>
          <t>מכירות ישירות</t>
        </is>
      </c>
      <c r="E263" s="11" t="inlineStr">
        <is>
          <t>הוצאות תפעול</t>
        </is>
      </c>
      <c r="F263" s="11" t="inlineStr">
        <is>
          <t>הוצאות משרד</t>
        </is>
      </c>
      <c r="G263" s="12" t="n">
        <v>4753</v>
      </c>
    </row>
    <row r="264">
      <c r="A264" s="10" t="n">
        <v>46206</v>
      </c>
      <c r="B264" s="11" t="inlineStr">
        <is>
          <t>J41260</t>
        </is>
      </c>
      <c r="C264" s="11" t="n">
        <v>7</v>
      </c>
      <c r="D264" s="11" t="inlineStr">
        <is>
          <t>ערוץ מפיצים</t>
        </is>
      </c>
      <c r="E264" s="11" t="inlineStr">
        <is>
          <t>הוצאות תפעול</t>
        </is>
      </c>
      <c r="F264" s="11" t="inlineStr">
        <is>
          <t>הוצאות משרד</t>
        </is>
      </c>
      <c r="G264" s="12" t="n">
        <v>2860</v>
      </c>
    </row>
    <row r="265">
      <c r="A265" s="10" t="n">
        <v>46224</v>
      </c>
      <c r="B265" s="11" t="inlineStr">
        <is>
          <t>J41261</t>
        </is>
      </c>
      <c r="C265" s="11" t="n">
        <v>7</v>
      </c>
      <c r="D265" s="11" t="inlineStr">
        <is>
          <t>שירות ותמיכה</t>
        </is>
      </c>
      <c r="E265" s="11" t="inlineStr">
        <is>
          <t>הוצאות תפעול</t>
        </is>
      </c>
      <c r="F265" s="11" t="inlineStr">
        <is>
          <t>הוצאות משרד</t>
        </is>
      </c>
      <c r="G265" s="12" t="n">
        <v>1558</v>
      </c>
    </row>
    <row r="266">
      <c r="A266" s="10" t="n">
        <v>46215</v>
      </c>
      <c r="B266" s="11" t="inlineStr">
        <is>
          <t>J41262</t>
        </is>
      </c>
      <c r="C266" s="11" t="n">
        <v>7</v>
      </c>
      <c r="D266" s="11" t="inlineStr">
        <is>
          <t>מכירות ישירות</t>
        </is>
      </c>
      <c r="E266" s="11" t="inlineStr">
        <is>
          <t>הוצאות תפעול</t>
        </is>
      </c>
      <c r="F266" s="11" t="inlineStr">
        <is>
          <t>עמלות סליקה</t>
        </is>
      </c>
      <c r="G266" s="12" t="n">
        <v>6589</v>
      </c>
    </row>
    <row r="267">
      <c r="A267" s="10" t="n">
        <v>46224</v>
      </c>
      <c r="B267" s="11" t="inlineStr">
        <is>
          <t>J41263</t>
        </is>
      </c>
      <c r="C267" s="11" t="n">
        <v>7</v>
      </c>
      <c r="D267" s="11" t="inlineStr">
        <is>
          <t>ערוץ מפיצים</t>
        </is>
      </c>
      <c r="E267" s="11" t="inlineStr">
        <is>
          <t>הוצאות תפעול</t>
        </is>
      </c>
      <c r="F267" s="11" t="inlineStr">
        <is>
          <t>עמלות סליקה</t>
        </is>
      </c>
      <c r="G267" s="12" t="n">
        <v>3215</v>
      </c>
    </row>
    <row r="268">
      <c r="A268" s="10" t="n">
        <v>46213</v>
      </c>
      <c r="B268" s="11" t="inlineStr">
        <is>
          <t>J41264</t>
        </is>
      </c>
      <c r="C268" s="11" t="n">
        <v>7</v>
      </c>
      <c r="D268" s="11" t="inlineStr">
        <is>
          <t>שירות ותמיכה</t>
        </is>
      </c>
      <c r="E268" s="11" t="inlineStr">
        <is>
          <t>הוצאות תפעול</t>
        </is>
      </c>
      <c r="F268" s="11" t="inlineStr">
        <is>
          <t>עמלות סליקה</t>
        </is>
      </c>
      <c r="G268" s="12" t="n">
        <v>1755</v>
      </c>
    </row>
    <row r="269">
      <c r="A269" s="10" t="n">
        <v>46230</v>
      </c>
      <c r="B269" s="11" t="inlineStr">
        <is>
          <t>J41265</t>
        </is>
      </c>
      <c r="C269" s="11" t="n">
        <v>7</v>
      </c>
      <c r="D269" s="11" t="inlineStr">
        <is>
          <t>מכירות ישירות</t>
        </is>
      </c>
      <c r="E269" s="11" t="inlineStr">
        <is>
          <t>הוצאות תפעול</t>
        </is>
      </c>
      <c r="F269" s="11" t="inlineStr">
        <is>
          <t>ייעוץ מקצועי</t>
        </is>
      </c>
      <c r="G269" s="12" t="n">
        <v>6576</v>
      </c>
    </row>
    <row r="270">
      <c r="A270" s="10" t="n">
        <v>46230</v>
      </c>
      <c r="B270" s="11" t="inlineStr">
        <is>
          <t>J41266</t>
        </is>
      </c>
      <c r="C270" s="11" t="n">
        <v>7</v>
      </c>
      <c r="D270" s="11" t="inlineStr">
        <is>
          <t>ערוץ מפיצים</t>
        </is>
      </c>
      <c r="E270" s="11" t="inlineStr">
        <is>
          <t>הוצאות תפעול</t>
        </is>
      </c>
      <c r="F270" s="11" t="inlineStr">
        <is>
          <t>ייעוץ מקצועי</t>
        </is>
      </c>
      <c r="G270" s="12" t="n">
        <v>3654</v>
      </c>
    </row>
    <row r="271">
      <c r="A271" s="10" t="n">
        <v>46205</v>
      </c>
      <c r="B271" s="11" t="inlineStr">
        <is>
          <t>J41267</t>
        </is>
      </c>
      <c r="C271" s="11" t="n">
        <v>7</v>
      </c>
      <c r="D271" s="11" t="inlineStr">
        <is>
          <t>שירות ותמיכה</t>
        </is>
      </c>
      <c r="E271" s="11" t="inlineStr">
        <is>
          <t>הוצאות תפעול</t>
        </is>
      </c>
      <c r="F271" s="11" t="inlineStr">
        <is>
          <t>ייעוץ מקצועי</t>
        </is>
      </c>
      <c r="G271" s="12" t="n">
        <v>1867</v>
      </c>
    </row>
    <row r="272">
      <c r="A272" s="10" t="n">
        <v>46211</v>
      </c>
      <c r="B272" s="11" t="inlineStr">
        <is>
          <t>J41268</t>
        </is>
      </c>
      <c r="C272" s="11" t="n">
        <v>7</v>
      </c>
      <c r="D272" s="11" t="inlineStr">
        <is>
          <t>מכירות ישירות</t>
        </is>
      </c>
      <c r="E272" s="11" t="inlineStr">
        <is>
          <t>הוצאות תפעול</t>
        </is>
      </c>
      <c r="F272" s="11" t="inlineStr">
        <is>
          <t>פחת</t>
        </is>
      </c>
      <c r="G272" s="12" t="n">
        <v>4904</v>
      </c>
    </row>
    <row r="273">
      <c r="A273" s="10" t="n">
        <v>46227</v>
      </c>
      <c r="B273" s="11" t="inlineStr">
        <is>
          <t>J41269</t>
        </is>
      </c>
      <c r="C273" s="11" t="n">
        <v>7</v>
      </c>
      <c r="D273" s="11" t="inlineStr">
        <is>
          <t>ערוץ מפיצים</t>
        </is>
      </c>
      <c r="E273" s="11" t="inlineStr">
        <is>
          <t>הוצאות תפעול</t>
        </is>
      </c>
      <c r="F273" s="11" t="inlineStr">
        <is>
          <t>פחת</t>
        </is>
      </c>
      <c r="G273" s="12" t="n">
        <v>4361</v>
      </c>
    </row>
    <row r="274">
      <c r="A274" s="10" t="n">
        <v>46229</v>
      </c>
      <c r="B274" s="11" t="inlineStr">
        <is>
          <t>J41270</t>
        </is>
      </c>
      <c r="C274" s="11" t="n">
        <v>7</v>
      </c>
      <c r="D274" s="11" t="inlineStr">
        <is>
          <t>שירות ותמיכה</t>
        </is>
      </c>
      <c r="E274" s="11" t="inlineStr">
        <is>
          <t>הוצאות תפעול</t>
        </is>
      </c>
      <c r="F274" s="11" t="inlineStr">
        <is>
          <t>פחת</t>
        </is>
      </c>
      <c r="G274" s="12" t="n">
        <v>4855</v>
      </c>
    </row>
    <row r="275">
      <c r="A275" s="10" t="n">
        <v>46215</v>
      </c>
      <c r="B275" s="11" t="inlineStr">
        <is>
          <t>J41271</t>
        </is>
      </c>
      <c r="C275" s="11" t="n">
        <v>7</v>
      </c>
      <c r="D275" s="11" t="inlineStr">
        <is>
          <t>מכירות ישירות</t>
        </is>
      </c>
      <c r="E275" s="11" t="inlineStr">
        <is>
          <t>הוצאות תפעול</t>
        </is>
      </c>
      <c r="F275" s="11" t="inlineStr">
        <is>
          <t>הוצאות מימון</t>
        </is>
      </c>
      <c r="G275" s="12" t="n">
        <v>2288</v>
      </c>
    </row>
    <row r="276">
      <c r="A276" s="10" t="n">
        <v>46230</v>
      </c>
      <c r="B276" s="11" t="inlineStr">
        <is>
          <t>J41272</t>
        </is>
      </c>
      <c r="C276" s="11" t="n">
        <v>7</v>
      </c>
      <c r="D276" s="11" t="inlineStr">
        <is>
          <t>ערוץ מפיצים</t>
        </is>
      </c>
      <c r="E276" s="11" t="inlineStr">
        <is>
          <t>הוצאות תפעול</t>
        </is>
      </c>
      <c r="F276" s="11" t="inlineStr">
        <is>
          <t>הוצאות מימון</t>
        </is>
      </c>
      <c r="G276" s="12" t="n">
        <v>2409</v>
      </c>
    </row>
    <row r="277">
      <c r="A277" s="10" t="n">
        <v>46220</v>
      </c>
      <c r="B277" s="11" t="inlineStr">
        <is>
          <t>J41273</t>
        </is>
      </c>
      <c r="C277" s="11" t="n">
        <v>7</v>
      </c>
      <c r="D277" s="11" t="inlineStr">
        <is>
          <t>שירות ותמיכה</t>
        </is>
      </c>
      <c r="E277" s="11" t="inlineStr">
        <is>
          <t>הוצאות תפעול</t>
        </is>
      </c>
      <c r="F277" s="11" t="inlineStr">
        <is>
          <t>הוצאות מימון</t>
        </is>
      </c>
      <c r="G277" s="12" t="n">
        <v>2247</v>
      </c>
    </row>
    <row r="278">
      <c r="A278" s="10" t="n">
        <v>46250</v>
      </c>
      <c r="B278" s="11" t="inlineStr">
        <is>
          <t>J41274</t>
        </is>
      </c>
      <c r="C278" s="11" t="n">
        <v>8</v>
      </c>
      <c r="D278" s="11" t="inlineStr">
        <is>
          <t>מכירות ישירות</t>
        </is>
      </c>
      <c r="E278" s="11" t="inlineStr">
        <is>
          <t>הכנסות</t>
        </is>
      </c>
      <c r="F278" s="11" t="inlineStr">
        <is>
          <t>הכנסות ממכירות</t>
        </is>
      </c>
      <c r="G278" s="12" t="n">
        <v>428766</v>
      </c>
    </row>
    <row r="279">
      <c r="A279" s="10" t="n">
        <v>46251</v>
      </c>
      <c r="B279" s="11" t="inlineStr">
        <is>
          <t>J41275</t>
        </is>
      </c>
      <c r="C279" s="11" t="n">
        <v>8</v>
      </c>
      <c r="D279" s="11" t="inlineStr">
        <is>
          <t>ערוץ מפיצים</t>
        </is>
      </c>
      <c r="E279" s="11" t="inlineStr">
        <is>
          <t>הכנסות</t>
        </is>
      </c>
      <c r="F279" s="11" t="inlineStr">
        <is>
          <t>הכנסות ממכירות</t>
        </is>
      </c>
      <c r="G279" s="12" t="n">
        <v>232968</v>
      </c>
    </row>
    <row r="280">
      <c r="A280" s="10" t="n">
        <v>46254</v>
      </c>
      <c r="B280" s="11" t="inlineStr">
        <is>
          <t>J41276</t>
        </is>
      </c>
      <c r="C280" s="11" t="n">
        <v>8</v>
      </c>
      <c r="D280" s="11" t="inlineStr">
        <is>
          <t>שירות ותמיכה</t>
        </is>
      </c>
      <c r="E280" s="11" t="inlineStr">
        <is>
          <t>הכנסות</t>
        </is>
      </c>
      <c r="F280" s="11" t="inlineStr">
        <is>
          <t>הכנסות ממכירות</t>
        </is>
      </c>
      <c r="G280" s="12" t="n">
        <v>125923</v>
      </c>
    </row>
    <row r="281">
      <c r="A281" s="10" t="n">
        <v>46261</v>
      </c>
      <c r="B281" s="11" t="inlineStr">
        <is>
          <t>J41277</t>
        </is>
      </c>
      <c r="C281" s="11" t="n">
        <v>8</v>
      </c>
      <c r="D281" s="11" t="inlineStr">
        <is>
          <t>מכירות ישירות</t>
        </is>
      </c>
      <c r="E281" s="11" t="inlineStr">
        <is>
          <t>הכנסות</t>
        </is>
      </c>
      <c r="F281" s="11" t="inlineStr">
        <is>
          <t>הכנסות משירות</t>
        </is>
      </c>
      <c r="G281" s="12" t="n">
        <v>3770</v>
      </c>
    </row>
    <row r="282">
      <c r="A282" s="10" t="n">
        <v>46244</v>
      </c>
      <c r="B282" s="11" t="inlineStr">
        <is>
          <t>J41278</t>
        </is>
      </c>
      <c r="C282" s="11" t="n">
        <v>8</v>
      </c>
      <c r="D282" s="11" t="inlineStr">
        <is>
          <t>ערוץ מפיצים</t>
        </is>
      </c>
      <c r="E282" s="11" t="inlineStr">
        <is>
          <t>הכנסות</t>
        </is>
      </c>
      <c r="F282" s="11" t="inlineStr">
        <is>
          <t>הכנסות משירות</t>
        </is>
      </c>
      <c r="G282" s="12" t="n">
        <v>3960</v>
      </c>
    </row>
    <row r="283">
      <c r="A283" s="10" t="n">
        <v>46248</v>
      </c>
      <c r="B283" s="11" t="inlineStr">
        <is>
          <t>J41279</t>
        </is>
      </c>
      <c r="C283" s="11" t="n">
        <v>8</v>
      </c>
      <c r="D283" s="11" t="inlineStr">
        <is>
          <t>שירות ותמיכה</t>
        </is>
      </c>
      <c r="E283" s="11" t="inlineStr">
        <is>
          <t>הכנסות</t>
        </is>
      </c>
      <c r="F283" s="11" t="inlineStr">
        <is>
          <t>הכנסות משירות</t>
        </is>
      </c>
      <c r="G283" s="12" t="n">
        <v>70369</v>
      </c>
    </row>
    <row r="284">
      <c r="A284" s="10" t="n">
        <v>46250</v>
      </c>
      <c r="B284" s="11" t="inlineStr">
        <is>
          <t>J41280</t>
        </is>
      </c>
      <c r="C284" s="11" t="n">
        <v>8</v>
      </c>
      <c r="D284" s="11" t="inlineStr">
        <is>
          <t>מכירות ישירות</t>
        </is>
      </c>
      <c r="E284" s="11" t="inlineStr">
        <is>
          <t>עלות המכר</t>
        </is>
      </c>
      <c r="F284" s="11" t="inlineStr">
        <is>
          <t>עלות המכר</t>
        </is>
      </c>
      <c r="G284" s="12" t="n">
        <v>310403</v>
      </c>
    </row>
    <row r="285">
      <c r="A285" s="10" t="n">
        <v>46248</v>
      </c>
      <c r="B285" s="11" t="inlineStr">
        <is>
          <t>J41281</t>
        </is>
      </c>
      <c r="C285" s="11" t="n">
        <v>8</v>
      </c>
      <c r="D285" s="11" t="inlineStr">
        <is>
          <t>ערוץ מפיצים</t>
        </is>
      </c>
      <c r="E285" s="11" t="inlineStr">
        <is>
          <t>עלות המכר</t>
        </is>
      </c>
      <c r="F285" s="11" t="inlineStr">
        <is>
          <t>עלות המכר</t>
        </is>
      </c>
      <c r="G285" s="12" t="n">
        <v>167875</v>
      </c>
    </row>
    <row r="286">
      <c r="A286" s="10" t="n">
        <v>46250</v>
      </c>
      <c r="B286" s="11" t="inlineStr">
        <is>
          <t>J41282</t>
        </is>
      </c>
      <c r="C286" s="11" t="n">
        <v>8</v>
      </c>
      <c r="D286" s="11" t="inlineStr">
        <is>
          <t>שירות ותמיכה</t>
        </is>
      </c>
      <c r="E286" s="11" t="inlineStr">
        <is>
          <t>עלות המכר</t>
        </is>
      </c>
      <c r="F286" s="11" t="inlineStr">
        <is>
          <t>עלות המכר</t>
        </is>
      </c>
      <c r="G286" s="12" t="n">
        <v>85202</v>
      </c>
    </row>
    <row r="287">
      <c r="A287" s="10" t="n">
        <v>46252</v>
      </c>
      <c r="B287" s="11" t="inlineStr">
        <is>
          <t>J41283</t>
        </is>
      </c>
      <c r="C287" s="11" t="n">
        <v>8</v>
      </c>
      <c r="D287" s="11" t="inlineStr">
        <is>
          <t>מכירות ישירות</t>
        </is>
      </c>
      <c r="E287" s="11" t="inlineStr">
        <is>
          <t>הוצאות תפעול</t>
        </is>
      </c>
      <c r="F287" s="11" t="inlineStr">
        <is>
          <t>שכר ונלוות</t>
        </is>
      </c>
      <c r="G287" s="12" t="n">
        <v>74614</v>
      </c>
    </row>
    <row r="288">
      <c r="A288" s="10" t="n">
        <v>46239</v>
      </c>
      <c r="B288" s="11" t="inlineStr">
        <is>
          <t>J41284</t>
        </is>
      </c>
      <c r="C288" s="11" t="n">
        <v>8</v>
      </c>
      <c r="D288" s="11" t="inlineStr">
        <is>
          <t>ערוץ מפיצים</t>
        </is>
      </c>
      <c r="E288" s="11" t="inlineStr">
        <is>
          <t>הוצאות תפעול</t>
        </is>
      </c>
      <c r="F288" s="11" t="inlineStr">
        <is>
          <t>שכר ונלוות</t>
        </is>
      </c>
      <c r="G288" s="12" t="n">
        <v>41636</v>
      </c>
    </row>
    <row r="289">
      <c r="A289" s="10" t="n">
        <v>46239</v>
      </c>
      <c r="B289" s="11" t="inlineStr">
        <is>
          <t>J41285</t>
        </is>
      </c>
      <c r="C289" s="11" t="n">
        <v>8</v>
      </c>
      <c r="D289" s="11" t="inlineStr">
        <is>
          <t>שירות ותמיכה</t>
        </is>
      </c>
      <c r="E289" s="11" t="inlineStr">
        <is>
          <t>הוצאות תפעול</t>
        </is>
      </c>
      <c r="F289" s="11" t="inlineStr">
        <is>
          <t>שכר ונלוות</t>
        </is>
      </c>
      <c r="G289" s="12" t="n">
        <v>18822</v>
      </c>
    </row>
    <row r="290">
      <c r="A290" s="10" t="n">
        <v>46242</v>
      </c>
      <c r="B290" s="11" t="inlineStr">
        <is>
          <t>J41286</t>
        </is>
      </c>
      <c r="C290" s="11" t="n">
        <v>8</v>
      </c>
      <c r="D290" s="11" t="inlineStr">
        <is>
          <t>מכירות ישירות</t>
        </is>
      </c>
      <c r="E290" s="11" t="inlineStr">
        <is>
          <t>הוצאות תפעול</t>
        </is>
      </c>
      <c r="F290" s="11" t="inlineStr">
        <is>
          <t>שכר דירה ואחזקה</t>
        </is>
      </c>
      <c r="G290" s="12" t="n">
        <v>9871</v>
      </c>
    </row>
    <row r="291">
      <c r="A291" s="10" t="n">
        <v>46256</v>
      </c>
      <c r="B291" s="11" t="inlineStr">
        <is>
          <t>J41287</t>
        </is>
      </c>
      <c r="C291" s="11" t="n">
        <v>8</v>
      </c>
      <c r="D291" s="11" t="inlineStr">
        <is>
          <t>ערוץ מפיצים</t>
        </is>
      </c>
      <c r="E291" s="11" t="inlineStr">
        <is>
          <t>הוצאות תפעול</t>
        </is>
      </c>
      <c r="F291" s="11" t="inlineStr">
        <is>
          <t>שכר דירה ואחזקה</t>
        </is>
      </c>
      <c r="G291" s="12" t="n">
        <v>9557</v>
      </c>
    </row>
    <row r="292">
      <c r="A292" s="10" t="n">
        <v>46250</v>
      </c>
      <c r="B292" s="11" t="inlineStr">
        <is>
          <t>J41288</t>
        </is>
      </c>
      <c r="C292" s="11" t="n">
        <v>8</v>
      </c>
      <c r="D292" s="11" t="inlineStr">
        <is>
          <t>שירות ותמיכה</t>
        </is>
      </c>
      <c r="E292" s="11" t="inlineStr">
        <is>
          <t>הוצאות תפעול</t>
        </is>
      </c>
      <c r="F292" s="11" t="inlineStr">
        <is>
          <t>שכר דירה ואחזקה</t>
        </is>
      </c>
      <c r="G292" s="12" t="n">
        <v>8055</v>
      </c>
    </row>
    <row r="293">
      <c r="A293" s="10" t="n">
        <v>46257</v>
      </c>
      <c r="B293" s="11" t="inlineStr">
        <is>
          <t>J41289</t>
        </is>
      </c>
      <c r="C293" s="11" t="n">
        <v>8</v>
      </c>
      <c r="D293" s="11" t="inlineStr">
        <is>
          <t>מכירות ישירות</t>
        </is>
      </c>
      <c r="E293" s="11" t="inlineStr">
        <is>
          <t>הוצאות תפעול</t>
        </is>
      </c>
      <c r="F293" s="11" t="inlineStr">
        <is>
          <t>הוצאות רכב</t>
        </is>
      </c>
      <c r="G293" s="12" t="n">
        <v>9805</v>
      </c>
    </row>
    <row r="294">
      <c r="A294" s="10" t="n">
        <v>46237</v>
      </c>
      <c r="B294" s="11" t="inlineStr">
        <is>
          <t>J41290</t>
        </is>
      </c>
      <c r="C294" s="11" t="n">
        <v>8</v>
      </c>
      <c r="D294" s="11" t="inlineStr">
        <is>
          <t>ערוץ מפיצים</t>
        </is>
      </c>
      <c r="E294" s="11" t="inlineStr">
        <is>
          <t>הוצאות תפעול</t>
        </is>
      </c>
      <c r="F294" s="11" t="inlineStr">
        <is>
          <t>הוצאות רכב</t>
        </is>
      </c>
      <c r="G294" s="12" t="n">
        <v>5589</v>
      </c>
    </row>
    <row r="295">
      <c r="A295" s="10" t="n">
        <v>46258</v>
      </c>
      <c r="B295" s="11" t="inlineStr">
        <is>
          <t>J41291</t>
        </is>
      </c>
      <c r="C295" s="11" t="n">
        <v>8</v>
      </c>
      <c r="D295" s="11" t="inlineStr">
        <is>
          <t>שירות ותמיכה</t>
        </is>
      </c>
      <c r="E295" s="11" t="inlineStr">
        <is>
          <t>הוצאות תפעול</t>
        </is>
      </c>
      <c r="F295" s="11" t="inlineStr">
        <is>
          <t>הוצאות רכב</t>
        </is>
      </c>
      <c r="G295" s="12" t="n">
        <v>2682</v>
      </c>
    </row>
    <row r="296">
      <c r="A296" s="10" t="n">
        <v>46251</v>
      </c>
      <c r="B296" s="11" t="inlineStr">
        <is>
          <t>J41292</t>
        </is>
      </c>
      <c r="C296" s="11" t="n">
        <v>8</v>
      </c>
      <c r="D296" s="11" t="inlineStr">
        <is>
          <t>מכירות ישירות</t>
        </is>
      </c>
      <c r="E296" s="11" t="inlineStr">
        <is>
          <t>הוצאות תפעול</t>
        </is>
      </c>
      <c r="F296" s="11" t="inlineStr">
        <is>
          <t>פרסום ושיווק</t>
        </is>
      </c>
      <c r="G296" s="12" t="n">
        <v>15412</v>
      </c>
    </row>
    <row r="297">
      <c r="A297" s="10" t="n">
        <v>46248</v>
      </c>
      <c r="B297" s="11" t="inlineStr">
        <is>
          <t>J41293</t>
        </is>
      </c>
      <c r="C297" s="11" t="n">
        <v>8</v>
      </c>
      <c r="D297" s="11" t="inlineStr">
        <is>
          <t>ערוץ מפיצים</t>
        </is>
      </c>
      <c r="E297" s="11" t="inlineStr">
        <is>
          <t>הוצאות תפעול</t>
        </is>
      </c>
      <c r="F297" s="11" t="inlineStr">
        <is>
          <t>פרסום ושיווק</t>
        </is>
      </c>
      <c r="G297" s="12" t="n">
        <v>8377</v>
      </c>
    </row>
    <row r="298">
      <c r="A298" s="10" t="n">
        <v>46260</v>
      </c>
      <c r="B298" s="11" t="inlineStr">
        <is>
          <t>J41294</t>
        </is>
      </c>
      <c r="C298" s="11" t="n">
        <v>8</v>
      </c>
      <c r="D298" s="11" t="inlineStr">
        <is>
          <t>שירות ותמיכה</t>
        </is>
      </c>
      <c r="E298" s="11" t="inlineStr">
        <is>
          <t>הוצאות תפעול</t>
        </is>
      </c>
      <c r="F298" s="11" t="inlineStr">
        <is>
          <t>פרסום ושיווק</t>
        </is>
      </c>
      <c r="G298" s="12" t="n">
        <v>4443</v>
      </c>
    </row>
    <row r="299">
      <c r="A299" s="10" t="n">
        <v>46261</v>
      </c>
      <c r="B299" s="11" t="inlineStr">
        <is>
          <t>J41295</t>
        </is>
      </c>
      <c r="C299" s="11" t="n">
        <v>8</v>
      </c>
      <c r="D299" s="11" t="inlineStr">
        <is>
          <t>מכירות ישירות</t>
        </is>
      </c>
      <c r="E299" s="11" t="inlineStr">
        <is>
          <t>הוצאות תפעול</t>
        </is>
      </c>
      <c r="F299" s="11" t="inlineStr">
        <is>
          <t>כיבודים ואירוח</t>
        </is>
      </c>
      <c r="G299" s="12" t="n">
        <v>2338</v>
      </c>
    </row>
    <row r="300">
      <c r="A300" s="10" t="n">
        <v>46245</v>
      </c>
      <c r="B300" s="11" t="inlineStr">
        <is>
          <t>J41296</t>
        </is>
      </c>
      <c r="C300" s="11" t="n">
        <v>8</v>
      </c>
      <c r="D300" s="11" t="inlineStr">
        <is>
          <t>ערוץ מפיצים</t>
        </is>
      </c>
      <c r="E300" s="11" t="inlineStr">
        <is>
          <t>הוצאות תפעול</t>
        </is>
      </c>
      <c r="F300" s="11" t="inlineStr">
        <is>
          <t>כיבודים ואירוח</t>
        </is>
      </c>
      <c r="G300" s="12" t="n">
        <v>1188</v>
      </c>
    </row>
    <row r="301">
      <c r="A301" s="10" t="n">
        <v>46260</v>
      </c>
      <c r="B301" s="11" t="inlineStr">
        <is>
          <t>J41297</t>
        </is>
      </c>
      <c r="C301" s="11" t="n">
        <v>8</v>
      </c>
      <c r="D301" s="11" t="inlineStr">
        <is>
          <t>שירות ותמיכה</t>
        </is>
      </c>
      <c r="E301" s="11" t="inlineStr">
        <is>
          <t>הוצאות תפעול</t>
        </is>
      </c>
      <c r="F301" s="11" t="inlineStr">
        <is>
          <t>כיבודים ואירוח</t>
        </is>
      </c>
      <c r="G301" s="12" t="n">
        <v>685</v>
      </c>
    </row>
    <row r="302">
      <c r="A302" s="10" t="n">
        <v>46256</v>
      </c>
      <c r="B302" s="11" t="inlineStr">
        <is>
          <t>J41298</t>
        </is>
      </c>
      <c r="C302" s="11" t="n">
        <v>8</v>
      </c>
      <c r="D302" s="11" t="inlineStr">
        <is>
          <t>מכירות ישירות</t>
        </is>
      </c>
      <c r="E302" s="11" t="inlineStr">
        <is>
          <t>הוצאות תפעול</t>
        </is>
      </c>
      <c r="F302" s="11" t="inlineStr">
        <is>
          <t>הוצאות משרד</t>
        </is>
      </c>
      <c r="G302" s="12" t="n">
        <v>5180</v>
      </c>
    </row>
    <row r="303">
      <c r="A303" s="10" t="n">
        <v>46249</v>
      </c>
      <c r="B303" s="11" t="inlineStr">
        <is>
          <t>J41299</t>
        </is>
      </c>
      <c r="C303" s="11" t="n">
        <v>8</v>
      </c>
      <c r="D303" s="11" t="inlineStr">
        <is>
          <t>ערוץ מפיצים</t>
        </is>
      </c>
      <c r="E303" s="11" t="inlineStr">
        <is>
          <t>הוצאות תפעול</t>
        </is>
      </c>
      <c r="F303" s="11" t="inlineStr">
        <is>
          <t>הוצאות משרד</t>
        </is>
      </c>
      <c r="G303" s="12" t="n">
        <v>2511</v>
      </c>
    </row>
    <row r="304">
      <c r="A304" s="10" t="n">
        <v>46259</v>
      </c>
      <c r="B304" s="11" t="inlineStr">
        <is>
          <t>J41300</t>
        </is>
      </c>
      <c r="C304" s="11" t="n">
        <v>8</v>
      </c>
      <c r="D304" s="11" t="inlineStr">
        <is>
          <t>שירות ותמיכה</t>
        </is>
      </c>
      <c r="E304" s="11" t="inlineStr">
        <is>
          <t>הוצאות תפעול</t>
        </is>
      </c>
      <c r="F304" s="11" t="inlineStr">
        <is>
          <t>הוצאות משרד</t>
        </is>
      </c>
      <c r="G304" s="12" t="n">
        <v>1182</v>
      </c>
    </row>
    <row r="305">
      <c r="A305" s="10" t="n">
        <v>46252</v>
      </c>
      <c r="B305" s="11" t="inlineStr">
        <is>
          <t>J41301</t>
        </is>
      </c>
      <c r="C305" s="11" t="n">
        <v>8</v>
      </c>
      <c r="D305" s="11" t="inlineStr">
        <is>
          <t>מכירות ישירות</t>
        </is>
      </c>
      <c r="E305" s="11" t="inlineStr">
        <is>
          <t>הוצאות תפעול</t>
        </is>
      </c>
      <c r="F305" s="11" t="inlineStr">
        <is>
          <t>עמלות סליקה</t>
        </is>
      </c>
      <c r="G305" s="12" t="n">
        <v>5126</v>
      </c>
    </row>
    <row r="306">
      <c r="A306" s="10" t="n">
        <v>46245</v>
      </c>
      <c r="B306" s="11" t="inlineStr">
        <is>
          <t>J41302</t>
        </is>
      </c>
      <c r="C306" s="11" t="n">
        <v>8</v>
      </c>
      <c r="D306" s="11" t="inlineStr">
        <is>
          <t>ערוץ מפיצים</t>
        </is>
      </c>
      <c r="E306" s="11" t="inlineStr">
        <is>
          <t>הוצאות תפעול</t>
        </is>
      </c>
      <c r="F306" s="11" t="inlineStr">
        <is>
          <t>עמלות סליקה</t>
        </is>
      </c>
      <c r="G306" s="12" t="n">
        <v>3021</v>
      </c>
    </row>
    <row r="307">
      <c r="A307" s="10" t="n">
        <v>46249</v>
      </c>
      <c r="B307" s="11" t="inlineStr">
        <is>
          <t>J41303</t>
        </is>
      </c>
      <c r="C307" s="11" t="n">
        <v>8</v>
      </c>
      <c r="D307" s="11" t="inlineStr">
        <is>
          <t>שירות ותמיכה</t>
        </is>
      </c>
      <c r="E307" s="11" t="inlineStr">
        <is>
          <t>הוצאות תפעול</t>
        </is>
      </c>
      <c r="F307" s="11" t="inlineStr">
        <is>
          <t>עמלות סליקה</t>
        </is>
      </c>
      <c r="G307" s="12" t="n">
        <v>1622</v>
      </c>
    </row>
    <row r="308">
      <c r="A308" s="10" t="n">
        <v>46261</v>
      </c>
      <c r="B308" s="11" t="inlineStr">
        <is>
          <t>J41304</t>
        </is>
      </c>
      <c r="C308" s="11" t="n">
        <v>8</v>
      </c>
      <c r="D308" s="11" t="inlineStr">
        <is>
          <t>מכירות ישירות</t>
        </is>
      </c>
      <c r="E308" s="11" t="inlineStr">
        <is>
          <t>הוצאות תפעול</t>
        </is>
      </c>
      <c r="F308" s="11" t="inlineStr">
        <is>
          <t>ייעוץ מקצועי</t>
        </is>
      </c>
      <c r="G308" s="12" t="n">
        <v>5821</v>
      </c>
    </row>
    <row r="309">
      <c r="A309" s="10" t="n">
        <v>46256</v>
      </c>
      <c r="B309" s="11" t="inlineStr">
        <is>
          <t>J41305</t>
        </is>
      </c>
      <c r="C309" s="11" t="n">
        <v>8</v>
      </c>
      <c r="D309" s="11" t="inlineStr">
        <is>
          <t>ערוץ מפיצים</t>
        </is>
      </c>
      <c r="E309" s="11" t="inlineStr">
        <is>
          <t>הוצאות תפעול</t>
        </is>
      </c>
      <c r="F309" s="11" t="inlineStr">
        <is>
          <t>ייעוץ מקצועי</t>
        </is>
      </c>
      <c r="G309" s="12" t="n">
        <v>3733</v>
      </c>
    </row>
    <row r="310">
      <c r="A310" s="10" t="n">
        <v>46244</v>
      </c>
      <c r="B310" s="11" t="inlineStr">
        <is>
          <t>J41306</t>
        </is>
      </c>
      <c r="C310" s="11" t="n">
        <v>8</v>
      </c>
      <c r="D310" s="11" t="inlineStr">
        <is>
          <t>שירות ותמיכה</t>
        </is>
      </c>
      <c r="E310" s="11" t="inlineStr">
        <is>
          <t>הוצאות תפעול</t>
        </is>
      </c>
      <c r="F310" s="11" t="inlineStr">
        <is>
          <t>ייעוץ מקצועי</t>
        </is>
      </c>
      <c r="G310" s="12" t="n">
        <v>1684</v>
      </c>
    </row>
    <row r="311">
      <c r="A311" s="10" t="n">
        <v>46252</v>
      </c>
      <c r="B311" s="11" t="inlineStr">
        <is>
          <t>J41307</t>
        </is>
      </c>
      <c r="C311" s="11" t="n">
        <v>8</v>
      </c>
      <c r="D311" s="11" t="inlineStr">
        <is>
          <t>מכירות ישירות</t>
        </is>
      </c>
      <c r="E311" s="11" t="inlineStr">
        <is>
          <t>הוצאות תפעול</t>
        </is>
      </c>
      <c r="F311" s="11" t="inlineStr">
        <is>
          <t>פחת</t>
        </is>
      </c>
      <c r="G311" s="12" t="n">
        <v>4463</v>
      </c>
    </row>
    <row r="312">
      <c r="A312" s="10" t="n">
        <v>46238</v>
      </c>
      <c r="B312" s="11" t="inlineStr">
        <is>
          <t>J41308</t>
        </is>
      </c>
      <c r="C312" s="11" t="n">
        <v>8</v>
      </c>
      <c r="D312" s="11" t="inlineStr">
        <is>
          <t>ערוץ מפיצים</t>
        </is>
      </c>
      <c r="E312" s="11" t="inlineStr">
        <is>
          <t>הוצאות תפעול</t>
        </is>
      </c>
      <c r="F312" s="11" t="inlineStr">
        <is>
          <t>פחת</t>
        </is>
      </c>
      <c r="G312" s="12" t="n">
        <v>3647</v>
      </c>
    </row>
    <row r="313">
      <c r="A313" s="10" t="n">
        <v>46252</v>
      </c>
      <c r="B313" s="11" t="inlineStr">
        <is>
          <t>J41309</t>
        </is>
      </c>
      <c r="C313" s="11" t="n">
        <v>8</v>
      </c>
      <c r="D313" s="11" t="inlineStr">
        <is>
          <t>שירות ותמיכה</t>
        </is>
      </c>
      <c r="E313" s="11" t="inlineStr">
        <is>
          <t>הוצאות תפעול</t>
        </is>
      </c>
      <c r="F313" s="11" t="inlineStr">
        <is>
          <t>פחת</t>
        </is>
      </c>
      <c r="G313" s="12" t="n">
        <v>4113</v>
      </c>
    </row>
    <row r="314">
      <c r="A314" s="10" t="n">
        <v>46244</v>
      </c>
      <c r="B314" s="11" t="inlineStr">
        <is>
          <t>J41310</t>
        </is>
      </c>
      <c r="C314" s="11" t="n">
        <v>8</v>
      </c>
      <c r="D314" s="11" t="inlineStr">
        <is>
          <t>מכירות ישירות</t>
        </is>
      </c>
      <c r="E314" s="11" t="inlineStr">
        <is>
          <t>הוצאות תפעול</t>
        </is>
      </c>
      <c r="F314" s="11" t="inlineStr">
        <is>
          <t>הוצאות מימון</t>
        </is>
      </c>
      <c r="G314" s="12" t="n">
        <v>2056</v>
      </c>
    </row>
    <row r="315">
      <c r="A315" s="10" t="n">
        <v>46249</v>
      </c>
      <c r="B315" s="11" t="inlineStr">
        <is>
          <t>J41311</t>
        </is>
      </c>
      <c r="C315" s="11" t="n">
        <v>8</v>
      </c>
      <c r="D315" s="11" t="inlineStr">
        <is>
          <t>ערוץ מפיצים</t>
        </is>
      </c>
      <c r="E315" s="11" t="inlineStr">
        <is>
          <t>הוצאות תפעול</t>
        </is>
      </c>
      <c r="F315" s="11" t="inlineStr">
        <is>
          <t>הוצאות מימון</t>
        </is>
      </c>
      <c r="G315" s="12" t="n">
        <v>2227</v>
      </c>
    </row>
    <row r="316">
      <c r="A316" s="10" t="n">
        <v>46239</v>
      </c>
      <c r="B316" s="11" t="inlineStr">
        <is>
          <t>J41312</t>
        </is>
      </c>
      <c r="C316" s="11" t="n">
        <v>8</v>
      </c>
      <c r="D316" s="11" t="inlineStr">
        <is>
          <t>שירות ותמיכה</t>
        </is>
      </c>
      <c r="E316" s="11" t="inlineStr">
        <is>
          <t>הוצאות תפעול</t>
        </is>
      </c>
      <c r="F316" s="11" t="inlineStr">
        <is>
          <t>הוצאות מימון</t>
        </is>
      </c>
      <c r="G316" s="12" t="n">
        <v>1951</v>
      </c>
    </row>
    <row r="317">
      <c r="A317" s="10" t="n">
        <v>46275</v>
      </c>
      <c r="B317" s="11" t="inlineStr">
        <is>
          <t>J41313</t>
        </is>
      </c>
      <c r="C317" s="11" t="n">
        <v>9</v>
      </c>
      <c r="D317" s="11" t="inlineStr">
        <is>
          <t>מכירות ישירות</t>
        </is>
      </c>
      <c r="E317" s="11" t="inlineStr">
        <is>
          <t>הכנסות</t>
        </is>
      </c>
      <c r="F317" s="11" t="inlineStr">
        <is>
          <t>הכנסות ממכירות</t>
        </is>
      </c>
      <c r="G317" s="12" t="n">
        <v>648349</v>
      </c>
    </row>
    <row r="318">
      <c r="A318" s="10" t="n">
        <v>46270</v>
      </c>
      <c r="B318" s="11" t="inlineStr">
        <is>
          <t>J41314</t>
        </is>
      </c>
      <c r="C318" s="11" t="n">
        <v>9</v>
      </c>
      <c r="D318" s="11" t="inlineStr">
        <is>
          <t>ערוץ מפיצים</t>
        </is>
      </c>
      <c r="E318" s="11" t="inlineStr">
        <is>
          <t>הכנסות</t>
        </is>
      </c>
      <c r="F318" s="11" t="inlineStr">
        <is>
          <t>הכנסות ממכירות</t>
        </is>
      </c>
      <c r="G318" s="12" t="n">
        <v>343262</v>
      </c>
    </row>
    <row r="319">
      <c r="A319" s="10" t="n">
        <v>46272</v>
      </c>
      <c r="B319" s="11" t="inlineStr">
        <is>
          <t>J41315</t>
        </is>
      </c>
      <c r="C319" s="11" t="n">
        <v>9</v>
      </c>
      <c r="D319" s="11" t="inlineStr">
        <is>
          <t>שירות ותמיכה</t>
        </is>
      </c>
      <c r="E319" s="11" t="inlineStr">
        <is>
          <t>הכנסות</t>
        </is>
      </c>
      <c r="F319" s="11" t="inlineStr">
        <is>
          <t>הכנסות ממכירות</t>
        </is>
      </c>
      <c r="G319" s="12" t="n">
        <v>174112</v>
      </c>
    </row>
    <row r="320">
      <c r="A320" s="10" t="n">
        <v>46283</v>
      </c>
      <c r="B320" s="11" t="inlineStr">
        <is>
          <t>J41316</t>
        </is>
      </c>
      <c r="C320" s="11" t="n">
        <v>9</v>
      </c>
      <c r="D320" s="11" t="inlineStr">
        <is>
          <t>מכירות ישירות</t>
        </is>
      </c>
      <c r="E320" s="11" t="inlineStr">
        <is>
          <t>הכנסות</t>
        </is>
      </c>
      <c r="F320" s="11" t="inlineStr">
        <is>
          <t>הכנסות משירות</t>
        </is>
      </c>
      <c r="G320" s="12" t="n">
        <v>5734</v>
      </c>
    </row>
    <row r="321">
      <c r="A321" s="10" t="n">
        <v>46284</v>
      </c>
      <c r="B321" s="11" t="inlineStr">
        <is>
          <t>J41317</t>
        </is>
      </c>
      <c r="C321" s="11" t="n">
        <v>9</v>
      </c>
      <c r="D321" s="11" t="inlineStr">
        <is>
          <t>ערוץ מפיצים</t>
        </is>
      </c>
      <c r="E321" s="11" t="inlineStr">
        <is>
          <t>הכנסות</t>
        </is>
      </c>
      <c r="F321" s="11" t="inlineStr">
        <is>
          <t>הכנסות משירות</t>
        </is>
      </c>
      <c r="G321" s="12" t="n">
        <v>5665</v>
      </c>
    </row>
    <row r="322">
      <c r="A322" s="10" t="n">
        <v>46272</v>
      </c>
      <c r="B322" s="11" t="inlineStr">
        <is>
          <t>J41318</t>
        </is>
      </c>
      <c r="C322" s="11" t="n">
        <v>9</v>
      </c>
      <c r="D322" s="11" t="inlineStr">
        <is>
          <t>שירות ותמיכה</t>
        </is>
      </c>
      <c r="E322" s="11" t="inlineStr">
        <is>
          <t>הכנסות</t>
        </is>
      </c>
      <c r="F322" s="11" t="inlineStr">
        <is>
          <t>הכנסות משירות</t>
        </is>
      </c>
      <c r="G322" s="12" t="n">
        <v>87359</v>
      </c>
    </row>
    <row r="323">
      <c r="A323" s="10" t="n">
        <v>46277</v>
      </c>
      <c r="B323" s="11" t="inlineStr">
        <is>
          <t>J41319</t>
        </is>
      </c>
      <c r="C323" s="11" t="n">
        <v>9</v>
      </c>
      <c r="D323" s="11" t="inlineStr">
        <is>
          <t>מכירות ישירות</t>
        </is>
      </c>
      <c r="E323" s="11" t="inlineStr">
        <is>
          <t>עלות המכר</t>
        </is>
      </c>
      <c r="F323" s="11" t="inlineStr">
        <is>
          <t>עלות המכר</t>
        </is>
      </c>
      <c r="G323" s="12" t="n">
        <v>459802</v>
      </c>
    </row>
    <row r="324">
      <c r="A324" s="10" t="n">
        <v>46286</v>
      </c>
      <c r="B324" s="11" t="inlineStr">
        <is>
          <t>J41320</t>
        </is>
      </c>
      <c r="C324" s="11" t="n">
        <v>9</v>
      </c>
      <c r="D324" s="11" t="inlineStr">
        <is>
          <t>ערוץ מפיצים</t>
        </is>
      </c>
      <c r="E324" s="11" t="inlineStr">
        <is>
          <t>עלות המכר</t>
        </is>
      </c>
      <c r="F324" s="11" t="inlineStr">
        <is>
          <t>עלות המכר</t>
        </is>
      </c>
      <c r="G324" s="12" t="n">
        <v>249717</v>
      </c>
    </row>
    <row r="325">
      <c r="A325" s="10" t="n">
        <v>46291</v>
      </c>
      <c r="B325" s="11" t="inlineStr">
        <is>
          <t>J41321</t>
        </is>
      </c>
      <c r="C325" s="11" t="n">
        <v>9</v>
      </c>
      <c r="D325" s="11" t="inlineStr">
        <is>
          <t>שירות ותמיכה</t>
        </is>
      </c>
      <c r="E325" s="11" t="inlineStr">
        <is>
          <t>עלות המכר</t>
        </is>
      </c>
      <c r="F325" s="11" t="inlineStr">
        <is>
          <t>עלות המכר</t>
        </is>
      </c>
      <c r="G325" s="12" t="n">
        <v>118840</v>
      </c>
    </row>
    <row r="326">
      <c r="A326" s="10" t="n">
        <v>46285</v>
      </c>
      <c r="B326" s="11" t="inlineStr">
        <is>
          <t>J41322</t>
        </is>
      </c>
      <c r="C326" s="11" t="n">
        <v>9</v>
      </c>
      <c r="D326" s="11" t="inlineStr">
        <is>
          <t>מכירות ישירות</t>
        </is>
      </c>
      <c r="E326" s="11" t="inlineStr">
        <is>
          <t>הוצאות תפעול</t>
        </is>
      </c>
      <c r="F326" s="11" t="inlineStr">
        <is>
          <t>שכר ונלוות</t>
        </is>
      </c>
      <c r="G326" s="12" t="n">
        <v>98993</v>
      </c>
    </row>
    <row r="327">
      <c r="A327" s="10" t="n">
        <v>46278</v>
      </c>
      <c r="B327" s="11" t="inlineStr">
        <is>
          <t>J41323</t>
        </is>
      </c>
      <c r="C327" s="11" t="n">
        <v>9</v>
      </c>
      <c r="D327" s="11" t="inlineStr">
        <is>
          <t>ערוץ מפיצים</t>
        </is>
      </c>
      <c r="E327" s="11" t="inlineStr">
        <is>
          <t>הוצאות תפעול</t>
        </is>
      </c>
      <c r="F327" s="11" t="inlineStr">
        <is>
          <t>שכר ונלוות</t>
        </is>
      </c>
      <c r="G327" s="12" t="n">
        <v>57760</v>
      </c>
    </row>
    <row r="328">
      <c r="A328" s="10" t="n">
        <v>46287</v>
      </c>
      <c r="B328" s="11" t="inlineStr">
        <is>
          <t>J41324</t>
        </is>
      </c>
      <c r="C328" s="11" t="n">
        <v>9</v>
      </c>
      <c r="D328" s="11" t="inlineStr">
        <is>
          <t>שירות ותמיכה</t>
        </is>
      </c>
      <c r="E328" s="11" t="inlineStr">
        <is>
          <t>הוצאות תפעול</t>
        </is>
      </c>
      <c r="F328" s="11" t="inlineStr">
        <is>
          <t>שכר ונלוות</t>
        </is>
      </c>
      <c r="G328" s="12" t="n">
        <v>27042</v>
      </c>
    </row>
    <row r="329">
      <c r="A329" s="10" t="n">
        <v>46280</v>
      </c>
      <c r="B329" s="11" t="inlineStr">
        <is>
          <t>J41325</t>
        </is>
      </c>
      <c r="C329" s="11" t="n">
        <v>9</v>
      </c>
      <c r="D329" s="11" t="inlineStr">
        <is>
          <t>מכירות ישירות</t>
        </is>
      </c>
      <c r="E329" s="11" t="inlineStr">
        <is>
          <t>הוצאות תפעול</t>
        </is>
      </c>
      <c r="F329" s="11" t="inlineStr">
        <is>
          <t>שכר דירה ואחזקה</t>
        </is>
      </c>
      <c r="G329" s="12" t="n">
        <v>12028</v>
      </c>
    </row>
    <row r="330">
      <c r="A330" s="10" t="n">
        <v>46271</v>
      </c>
      <c r="B330" s="11" t="inlineStr">
        <is>
          <t>J41326</t>
        </is>
      </c>
      <c r="C330" s="11" t="n">
        <v>9</v>
      </c>
      <c r="D330" s="11" t="inlineStr">
        <is>
          <t>ערוץ מפיצים</t>
        </is>
      </c>
      <c r="E330" s="11" t="inlineStr">
        <is>
          <t>הוצאות תפעול</t>
        </is>
      </c>
      <c r="F330" s="11" t="inlineStr">
        <is>
          <t>שכר דירה ואחזקה</t>
        </is>
      </c>
      <c r="G330" s="12" t="n">
        <v>13082</v>
      </c>
    </row>
    <row r="331">
      <c r="A331" s="10" t="n">
        <v>46277</v>
      </c>
      <c r="B331" s="11" t="inlineStr">
        <is>
          <t>J41327</t>
        </is>
      </c>
      <c r="C331" s="11" t="n">
        <v>9</v>
      </c>
      <c r="D331" s="11" t="inlineStr">
        <is>
          <t>שירות ותמיכה</t>
        </is>
      </c>
      <c r="E331" s="11" t="inlineStr">
        <is>
          <t>הוצאות תפעול</t>
        </is>
      </c>
      <c r="F331" s="11" t="inlineStr">
        <is>
          <t>שכר דירה ואחזקה</t>
        </is>
      </c>
      <c r="G331" s="12" t="n">
        <v>12207</v>
      </c>
    </row>
    <row r="332">
      <c r="A332" s="10" t="n">
        <v>46267</v>
      </c>
      <c r="B332" s="11" t="inlineStr">
        <is>
          <t>J41328</t>
        </is>
      </c>
      <c r="C332" s="11" t="n">
        <v>9</v>
      </c>
      <c r="D332" s="11" t="inlineStr">
        <is>
          <t>מכירות ישירות</t>
        </is>
      </c>
      <c r="E332" s="11" t="inlineStr">
        <is>
          <t>הוצאות תפעול</t>
        </is>
      </c>
      <c r="F332" s="11" t="inlineStr">
        <is>
          <t>הוצאות רכב</t>
        </is>
      </c>
      <c r="G332" s="12" t="n">
        <v>14327</v>
      </c>
    </row>
    <row r="333">
      <c r="A333" s="10" t="n">
        <v>46285</v>
      </c>
      <c r="B333" s="11" t="inlineStr">
        <is>
          <t>J41329</t>
        </is>
      </c>
      <c r="C333" s="11" t="n">
        <v>9</v>
      </c>
      <c r="D333" s="11" t="inlineStr">
        <is>
          <t>ערוץ מפיצים</t>
        </is>
      </c>
      <c r="E333" s="11" t="inlineStr">
        <is>
          <t>הוצאות תפעול</t>
        </is>
      </c>
      <c r="F333" s="11" t="inlineStr">
        <is>
          <t>הוצאות רכב</t>
        </is>
      </c>
      <c r="G333" s="12" t="n">
        <v>6839</v>
      </c>
    </row>
    <row r="334">
      <c r="A334" s="10" t="n">
        <v>46270</v>
      </c>
      <c r="B334" s="11" t="inlineStr">
        <is>
          <t>J41330</t>
        </is>
      </c>
      <c r="C334" s="11" t="n">
        <v>9</v>
      </c>
      <c r="D334" s="11" t="inlineStr">
        <is>
          <t>שירות ותמיכה</t>
        </is>
      </c>
      <c r="E334" s="11" t="inlineStr">
        <is>
          <t>הוצאות תפעול</t>
        </is>
      </c>
      <c r="F334" s="11" t="inlineStr">
        <is>
          <t>הוצאות רכב</t>
        </is>
      </c>
      <c r="G334" s="12" t="n">
        <v>3382</v>
      </c>
    </row>
    <row r="335">
      <c r="A335" s="10" t="n">
        <v>46273</v>
      </c>
      <c r="B335" s="11" t="inlineStr">
        <is>
          <t>J41331</t>
        </is>
      </c>
      <c r="C335" s="11" t="n">
        <v>9</v>
      </c>
      <c r="D335" s="11" t="inlineStr">
        <is>
          <t>מכירות ישירות</t>
        </is>
      </c>
      <c r="E335" s="11" t="inlineStr">
        <is>
          <t>הוצאות תפעול</t>
        </is>
      </c>
      <c r="F335" s="11" t="inlineStr">
        <is>
          <t>פרסום ושיווק</t>
        </is>
      </c>
      <c r="G335" s="12" t="n">
        <v>20336</v>
      </c>
    </row>
    <row r="336">
      <c r="A336" s="10" t="n">
        <v>46281</v>
      </c>
      <c r="B336" s="11" t="inlineStr">
        <is>
          <t>J41332</t>
        </is>
      </c>
      <c r="C336" s="11" t="n">
        <v>9</v>
      </c>
      <c r="D336" s="11" t="inlineStr">
        <is>
          <t>ערוץ מפיצים</t>
        </is>
      </c>
      <c r="E336" s="11" t="inlineStr">
        <is>
          <t>הוצאות תפעול</t>
        </is>
      </c>
      <c r="F336" s="11" t="inlineStr">
        <is>
          <t>פרסום ושיווק</t>
        </is>
      </c>
      <c r="G336" s="12" t="n">
        <v>13274</v>
      </c>
    </row>
    <row r="337">
      <c r="A337" s="10" t="n">
        <v>46277</v>
      </c>
      <c r="B337" s="11" t="inlineStr">
        <is>
          <t>J41333</t>
        </is>
      </c>
      <c r="C337" s="11" t="n">
        <v>9</v>
      </c>
      <c r="D337" s="11" t="inlineStr">
        <is>
          <t>שירות ותמיכה</t>
        </is>
      </c>
      <c r="E337" s="11" t="inlineStr">
        <is>
          <t>הוצאות תפעול</t>
        </is>
      </c>
      <c r="F337" s="11" t="inlineStr">
        <is>
          <t>פרסום ושיווק</t>
        </is>
      </c>
      <c r="G337" s="12" t="n">
        <v>6685</v>
      </c>
    </row>
    <row r="338">
      <c r="A338" s="10" t="n">
        <v>46289</v>
      </c>
      <c r="B338" s="11" t="inlineStr">
        <is>
          <t>J41334</t>
        </is>
      </c>
      <c r="C338" s="11" t="n">
        <v>9</v>
      </c>
      <c r="D338" s="11" t="inlineStr">
        <is>
          <t>מכירות ישירות</t>
        </is>
      </c>
      <c r="E338" s="11" t="inlineStr">
        <is>
          <t>הוצאות תפעול</t>
        </is>
      </c>
      <c r="F338" s="11" t="inlineStr">
        <is>
          <t>כיבודים ואירוח</t>
        </is>
      </c>
      <c r="G338" s="12" t="n">
        <v>3192</v>
      </c>
    </row>
    <row r="339">
      <c r="A339" s="10" t="n">
        <v>46289</v>
      </c>
      <c r="B339" s="11" t="inlineStr">
        <is>
          <t>J41335</t>
        </is>
      </c>
      <c r="C339" s="11" t="n">
        <v>9</v>
      </c>
      <c r="D339" s="11" t="inlineStr">
        <is>
          <t>ערוץ מפיצים</t>
        </is>
      </c>
      <c r="E339" s="11" t="inlineStr">
        <is>
          <t>הוצאות תפעול</t>
        </is>
      </c>
      <c r="F339" s="11" t="inlineStr">
        <is>
          <t>כיבודים ואירוח</t>
        </is>
      </c>
      <c r="G339" s="12" t="n">
        <v>1526</v>
      </c>
    </row>
    <row r="340">
      <c r="A340" s="10" t="n">
        <v>46290</v>
      </c>
      <c r="B340" s="11" t="inlineStr">
        <is>
          <t>J41336</t>
        </is>
      </c>
      <c r="C340" s="11" t="n">
        <v>9</v>
      </c>
      <c r="D340" s="11" t="inlineStr">
        <is>
          <t>שירות ותמיכה</t>
        </is>
      </c>
      <c r="E340" s="11" t="inlineStr">
        <is>
          <t>הוצאות תפעול</t>
        </is>
      </c>
      <c r="F340" s="11" t="inlineStr">
        <is>
          <t>כיבודים ואירוח</t>
        </is>
      </c>
      <c r="G340" s="12" t="n">
        <v>839</v>
      </c>
    </row>
    <row r="341">
      <c r="A341" s="10" t="n">
        <v>46282</v>
      </c>
      <c r="B341" s="11" t="inlineStr">
        <is>
          <t>J41337</t>
        </is>
      </c>
      <c r="C341" s="11" t="n">
        <v>9</v>
      </c>
      <c r="D341" s="11" t="inlineStr">
        <is>
          <t>מכירות ישירות</t>
        </is>
      </c>
      <c r="E341" s="11" t="inlineStr">
        <is>
          <t>הוצאות תפעול</t>
        </is>
      </c>
      <c r="F341" s="11" t="inlineStr">
        <is>
          <t>הוצאות משרד</t>
        </is>
      </c>
      <c r="G341" s="12" t="n">
        <v>5765</v>
      </c>
    </row>
    <row r="342">
      <c r="A342" s="10" t="n">
        <v>46280</v>
      </c>
      <c r="B342" s="11" t="inlineStr">
        <is>
          <t>J41338</t>
        </is>
      </c>
      <c r="C342" s="11" t="n">
        <v>9</v>
      </c>
      <c r="D342" s="11" t="inlineStr">
        <is>
          <t>ערוץ מפיצים</t>
        </is>
      </c>
      <c r="E342" s="11" t="inlineStr">
        <is>
          <t>הוצאות תפעול</t>
        </is>
      </c>
      <c r="F342" s="11" t="inlineStr">
        <is>
          <t>הוצאות משרד</t>
        </is>
      </c>
      <c r="G342" s="12" t="n">
        <v>3264</v>
      </c>
    </row>
    <row r="343">
      <c r="A343" s="10" t="n">
        <v>46280</v>
      </c>
      <c r="B343" s="11" t="inlineStr">
        <is>
          <t>J41339</t>
        </is>
      </c>
      <c r="C343" s="11" t="n">
        <v>9</v>
      </c>
      <c r="D343" s="11" t="inlineStr">
        <is>
          <t>שירות ותמיכה</t>
        </is>
      </c>
      <c r="E343" s="11" t="inlineStr">
        <is>
          <t>הוצאות תפעול</t>
        </is>
      </c>
      <c r="F343" s="11" t="inlineStr">
        <is>
          <t>הוצאות משרד</t>
        </is>
      </c>
      <c r="G343" s="12" t="n">
        <v>1812</v>
      </c>
    </row>
    <row r="344">
      <c r="A344" s="10" t="n">
        <v>46278</v>
      </c>
      <c r="B344" s="11" t="inlineStr">
        <is>
          <t>J41340</t>
        </is>
      </c>
      <c r="C344" s="11" t="n">
        <v>9</v>
      </c>
      <c r="D344" s="11" t="inlineStr">
        <is>
          <t>מכירות ישירות</t>
        </is>
      </c>
      <c r="E344" s="11" t="inlineStr">
        <is>
          <t>הוצאות תפעול</t>
        </is>
      </c>
      <c r="F344" s="11" t="inlineStr">
        <is>
          <t>עמלות סליקה</t>
        </is>
      </c>
      <c r="G344" s="12" t="n">
        <v>7063</v>
      </c>
    </row>
    <row r="345">
      <c r="A345" s="10" t="n">
        <v>46276</v>
      </c>
      <c r="B345" s="11" t="inlineStr">
        <is>
          <t>J41341</t>
        </is>
      </c>
      <c r="C345" s="11" t="n">
        <v>9</v>
      </c>
      <c r="D345" s="11" t="inlineStr">
        <is>
          <t>ערוץ מפיצים</t>
        </is>
      </c>
      <c r="E345" s="11" t="inlineStr">
        <is>
          <t>הוצאות תפעול</t>
        </is>
      </c>
      <c r="F345" s="11" t="inlineStr">
        <is>
          <t>עמלות סליקה</t>
        </is>
      </c>
      <c r="G345" s="12" t="n">
        <v>3821</v>
      </c>
    </row>
    <row r="346">
      <c r="A346" s="10" t="n">
        <v>46272</v>
      </c>
      <c r="B346" s="11" t="inlineStr">
        <is>
          <t>J41342</t>
        </is>
      </c>
      <c r="C346" s="11" t="n">
        <v>9</v>
      </c>
      <c r="D346" s="11" t="inlineStr">
        <is>
          <t>שירות ותמיכה</t>
        </is>
      </c>
      <c r="E346" s="11" t="inlineStr">
        <is>
          <t>הוצאות תפעול</t>
        </is>
      </c>
      <c r="F346" s="11" t="inlineStr">
        <is>
          <t>עמלות סליקה</t>
        </is>
      </c>
      <c r="G346" s="12" t="n">
        <v>1990</v>
      </c>
    </row>
    <row r="347">
      <c r="A347" s="10" t="n">
        <v>46290</v>
      </c>
      <c r="B347" s="11" t="inlineStr">
        <is>
          <t>J41343</t>
        </is>
      </c>
      <c r="C347" s="11" t="n">
        <v>9</v>
      </c>
      <c r="D347" s="11" t="inlineStr">
        <is>
          <t>מכירות ישירות</t>
        </is>
      </c>
      <c r="E347" s="11" t="inlineStr">
        <is>
          <t>הוצאות תפעול</t>
        </is>
      </c>
      <c r="F347" s="11" t="inlineStr">
        <is>
          <t>ייעוץ מקצועי</t>
        </is>
      </c>
      <c r="G347" s="12" t="n">
        <v>8514</v>
      </c>
    </row>
    <row r="348">
      <c r="A348" s="10" t="n">
        <v>46292</v>
      </c>
      <c r="B348" s="11" t="inlineStr">
        <is>
          <t>J41344</t>
        </is>
      </c>
      <c r="C348" s="11" t="n">
        <v>9</v>
      </c>
      <c r="D348" s="11" t="inlineStr">
        <is>
          <t>ערוץ מפיצים</t>
        </is>
      </c>
      <c r="E348" s="11" t="inlineStr">
        <is>
          <t>הוצאות תפעול</t>
        </is>
      </c>
      <c r="F348" s="11" t="inlineStr">
        <is>
          <t>ייעוץ מקצועי</t>
        </is>
      </c>
      <c r="G348" s="12" t="n">
        <v>4317</v>
      </c>
    </row>
    <row r="349">
      <c r="A349" s="10" t="n">
        <v>46283</v>
      </c>
      <c r="B349" s="11" t="inlineStr">
        <is>
          <t>J41345</t>
        </is>
      </c>
      <c r="C349" s="11" t="n">
        <v>9</v>
      </c>
      <c r="D349" s="11" t="inlineStr">
        <is>
          <t>שירות ותמיכה</t>
        </is>
      </c>
      <c r="E349" s="11" t="inlineStr">
        <is>
          <t>הוצאות תפעול</t>
        </is>
      </c>
      <c r="F349" s="11" t="inlineStr">
        <is>
          <t>ייעוץ מקצועי</t>
        </is>
      </c>
      <c r="G349" s="12" t="n">
        <v>2067</v>
      </c>
    </row>
    <row r="350">
      <c r="A350" s="10" t="n">
        <v>46273</v>
      </c>
      <c r="B350" s="11" t="inlineStr">
        <is>
          <t>J41346</t>
        </is>
      </c>
      <c r="C350" s="11" t="n">
        <v>9</v>
      </c>
      <c r="D350" s="11" t="inlineStr">
        <is>
          <t>מכירות ישירות</t>
        </is>
      </c>
      <c r="E350" s="11" t="inlineStr">
        <is>
          <t>הוצאות תפעול</t>
        </is>
      </c>
      <c r="F350" s="11" t="inlineStr">
        <is>
          <t>פחת</t>
        </is>
      </c>
      <c r="G350" s="12" t="n">
        <v>5141</v>
      </c>
    </row>
    <row r="351">
      <c r="A351" s="10" t="n">
        <v>46290</v>
      </c>
      <c r="B351" s="11" t="inlineStr">
        <is>
          <t>J41347</t>
        </is>
      </c>
      <c r="C351" s="11" t="n">
        <v>9</v>
      </c>
      <c r="D351" s="11" t="inlineStr">
        <is>
          <t>ערוץ מפיצים</t>
        </is>
      </c>
      <c r="E351" s="11" t="inlineStr">
        <is>
          <t>הוצאות תפעול</t>
        </is>
      </c>
      <c r="F351" s="11" t="inlineStr">
        <is>
          <t>פחת</t>
        </is>
      </c>
      <c r="G351" s="12" t="n">
        <v>5385</v>
      </c>
    </row>
    <row r="352">
      <c r="A352" s="10" t="n">
        <v>46286</v>
      </c>
      <c r="B352" s="11" t="inlineStr">
        <is>
          <t>J41348</t>
        </is>
      </c>
      <c r="C352" s="11" t="n">
        <v>9</v>
      </c>
      <c r="D352" s="11" t="inlineStr">
        <is>
          <t>שירות ותמיכה</t>
        </is>
      </c>
      <c r="E352" s="11" t="inlineStr">
        <is>
          <t>הוצאות תפעול</t>
        </is>
      </c>
      <c r="F352" s="11" t="inlineStr">
        <is>
          <t>פחת</t>
        </is>
      </c>
      <c r="G352" s="12" t="n">
        <v>5848</v>
      </c>
    </row>
    <row r="353">
      <c r="A353" s="10" t="n">
        <v>46292</v>
      </c>
      <c r="B353" s="11" t="inlineStr">
        <is>
          <t>J41349</t>
        </is>
      </c>
      <c r="C353" s="11" t="n">
        <v>9</v>
      </c>
      <c r="D353" s="11" t="inlineStr">
        <is>
          <t>מכירות ישירות</t>
        </is>
      </c>
      <c r="E353" s="11" t="inlineStr">
        <is>
          <t>הוצאות תפעול</t>
        </is>
      </c>
      <c r="F353" s="11" t="inlineStr">
        <is>
          <t>הוצאות מימון</t>
        </is>
      </c>
      <c r="G353" s="12" t="n">
        <v>2961</v>
      </c>
    </row>
    <row r="354">
      <c r="A354" s="10" t="n">
        <v>46283</v>
      </c>
      <c r="B354" s="11" t="inlineStr">
        <is>
          <t>J41350</t>
        </is>
      </c>
      <c r="C354" s="11" t="n">
        <v>9</v>
      </c>
      <c r="D354" s="11" t="inlineStr">
        <is>
          <t>ערוץ מפיצים</t>
        </is>
      </c>
      <c r="E354" s="11" t="inlineStr">
        <is>
          <t>הוצאות תפעול</t>
        </is>
      </c>
      <c r="F354" s="11" t="inlineStr">
        <is>
          <t>הוצאות מימון</t>
        </is>
      </c>
      <c r="G354" s="12" t="n">
        <v>3168</v>
      </c>
    </row>
    <row r="355">
      <c r="A355" s="10" t="n">
        <v>46283</v>
      </c>
      <c r="B355" s="11" t="inlineStr">
        <is>
          <t>J41351</t>
        </is>
      </c>
      <c r="C355" s="11" t="n">
        <v>9</v>
      </c>
      <c r="D355" s="11" t="inlineStr">
        <is>
          <t>שירות ותמיכה</t>
        </is>
      </c>
      <c r="E355" s="11" t="inlineStr">
        <is>
          <t>הוצאות תפעול</t>
        </is>
      </c>
      <c r="F355" s="11" t="inlineStr">
        <is>
          <t>הוצאות מימון</t>
        </is>
      </c>
      <c r="G355" s="12" t="n">
        <v>2734</v>
      </c>
    </row>
    <row r="356">
      <c r="A356" s="10" t="n">
        <v>46313</v>
      </c>
      <c r="B356" s="11" t="inlineStr">
        <is>
          <t>J41352</t>
        </is>
      </c>
      <c r="C356" s="11" t="n">
        <v>10</v>
      </c>
      <c r="D356" s="11" t="inlineStr">
        <is>
          <t>מכירות ישירות</t>
        </is>
      </c>
      <c r="E356" s="11" t="inlineStr">
        <is>
          <t>הכנסות</t>
        </is>
      </c>
      <c r="F356" s="11" t="inlineStr">
        <is>
          <t>הכנסות ממכירות</t>
        </is>
      </c>
      <c r="G356" s="12" t="n">
        <v>651549</v>
      </c>
    </row>
    <row r="357">
      <c r="A357" s="10" t="n">
        <v>46299</v>
      </c>
      <c r="B357" s="11" t="inlineStr">
        <is>
          <t>J41353</t>
        </is>
      </c>
      <c r="C357" s="11" t="n">
        <v>10</v>
      </c>
      <c r="D357" s="11" t="inlineStr">
        <is>
          <t>ערוץ מפיצים</t>
        </is>
      </c>
      <c r="E357" s="11" t="inlineStr">
        <is>
          <t>הכנסות</t>
        </is>
      </c>
      <c r="F357" s="11" t="inlineStr">
        <is>
          <t>הכנסות ממכירות</t>
        </is>
      </c>
      <c r="G357" s="12" t="n">
        <v>343213</v>
      </c>
    </row>
    <row r="358">
      <c r="A358" s="10" t="n">
        <v>46297</v>
      </c>
      <c r="B358" s="11" t="inlineStr">
        <is>
          <t>J41354</t>
        </is>
      </c>
      <c r="C358" s="11" t="n">
        <v>10</v>
      </c>
      <c r="D358" s="11" t="inlineStr">
        <is>
          <t>שירות ותמיכה</t>
        </is>
      </c>
      <c r="E358" s="11" t="inlineStr">
        <is>
          <t>הכנסות</t>
        </is>
      </c>
      <c r="F358" s="11" t="inlineStr">
        <is>
          <t>הכנסות ממכירות</t>
        </is>
      </c>
      <c r="G358" s="12" t="n">
        <v>178045</v>
      </c>
    </row>
    <row r="359">
      <c r="A359" s="10" t="n">
        <v>46309</v>
      </c>
      <c r="B359" s="11" t="inlineStr">
        <is>
          <t>J41355</t>
        </is>
      </c>
      <c r="C359" s="11" t="n">
        <v>10</v>
      </c>
      <c r="D359" s="11" t="inlineStr">
        <is>
          <t>מכירות ישירות</t>
        </is>
      </c>
      <c r="E359" s="11" t="inlineStr">
        <is>
          <t>הכנסות</t>
        </is>
      </c>
      <c r="F359" s="11" t="inlineStr">
        <is>
          <t>הכנסות משירות</t>
        </is>
      </c>
      <c r="G359" s="12" t="n">
        <v>5290</v>
      </c>
    </row>
    <row r="360">
      <c r="A360" s="10" t="n">
        <v>46317</v>
      </c>
      <c r="B360" s="11" t="inlineStr">
        <is>
          <t>J41356</t>
        </is>
      </c>
      <c r="C360" s="11" t="n">
        <v>10</v>
      </c>
      <c r="D360" s="11" t="inlineStr">
        <is>
          <t>ערוץ מפיצים</t>
        </is>
      </c>
      <c r="E360" s="11" t="inlineStr">
        <is>
          <t>הכנסות</t>
        </is>
      </c>
      <c r="F360" s="11" t="inlineStr">
        <is>
          <t>הכנסות משירות</t>
        </is>
      </c>
      <c r="G360" s="12" t="n">
        <v>5094</v>
      </c>
    </row>
    <row r="361">
      <c r="A361" s="10" t="n">
        <v>46298</v>
      </c>
      <c r="B361" s="11" t="inlineStr">
        <is>
          <t>J41357</t>
        </is>
      </c>
      <c r="C361" s="11" t="n">
        <v>10</v>
      </c>
      <c r="D361" s="11" t="inlineStr">
        <is>
          <t>שירות ותמיכה</t>
        </is>
      </c>
      <c r="E361" s="11" t="inlineStr">
        <is>
          <t>הכנסות</t>
        </is>
      </c>
      <c r="F361" s="11" t="inlineStr">
        <is>
          <t>הכנסות משירות</t>
        </is>
      </c>
      <c r="G361" s="12" t="n">
        <v>95619</v>
      </c>
    </row>
    <row r="362">
      <c r="A362" s="10" t="n">
        <v>46301</v>
      </c>
      <c r="B362" s="11" t="inlineStr">
        <is>
          <t>J41358</t>
        </is>
      </c>
      <c r="C362" s="11" t="n">
        <v>10</v>
      </c>
      <c r="D362" s="11" t="inlineStr">
        <is>
          <t>מכירות ישירות</t>
        </is>
      </c>
      <c r="E362" s="11" t="inlineStr">
        <is>
          <t>עלות המכר</t>
        </is>
      </c>
      <c r="F362" s="11" t="inlineStr">
        <is>
          <t>עלות המכר</t>
        </is>
      </c>
      <c r="G362" s="12" t="n">
        <v>479349</v>
      </c>
    </row>
    <row r="363">
      <c r="A363" s="10" t="n">
        <v>46308</v>
      </c>
      <c r="B363" s="11" t="inlineStr">
        <is>
          <t>J41359</t>
        </is>
      </c>
      <c r="C363" s="11" t="n">
        <v>10</v>
      </c>
      <c r="D363" s="11" t="inlineStr">
        <is>
          <t>ערוץ מפיצים</t>
        </is>
      </c>
      <c r="E363" s="11" t="inlineStr">
        <is>
          <t>עלות המכר</t>
        </is>
      </c>
      <c r="F363" s="11" t="inlineStr">
        <is>
          <t>עלות המכר</t>
        </is>
      </c>
      <c r="G363" s="12" t="n">
        <v>261631</v>
      </c>
    </row>
    <row r="364">
      <c r="A364" s="10" t="n">
        <v>46320</v>
      </c>
      <c r="B364" s="11" t="inlineStr">
        <is>
          <t>J41360</t>
        </is>
      </c>
      <c r="C364" s="11" t="n">
        <v>10</v>
      </c>
      <c r="D364" s="11" t="inlineStr">
        <is>
          <t>שירות ותמיכה</t>
        </is>
      </c>
      <c r="E364" s="11" t="inlineStr">
        <is>
          <t>עלות המכר</t>
        </is>
      </c>
      <c r="F364" s="11" t="inlineStr">
        <is>
          <t>עלות המכר</t>
        </is>
      </c>
      <c r="G364" s="12" t="n">
        <v>110898</v>
      </c>
    </row>
    <row r="365">
      <c r="A365" s="10" t="n">
        <v>46317</v>
      </c>
      <c r="B365" s="11" t="inlineStr">
        <is>
          <t>J41361</t>
        </is>
      </c>
      <c r="C365" s="11" t="n">
        <v>10</v>
      </c>
      <c r="D365" s="11" t="inlineStr">
        <is>
          <t>מכירות ישירות</t>
        </is>
      </c>
      <c r="E365" s="11" t="inlineStr">
        <is>
          <t>הוצאות תפעול</t>
        </is>
      </c>
      <c r="F365" s="11" t="inlineStr">
        <is>
          <t>שכר ונלוות</t>
        </is>
      </c>
      <c r="G365" s="12" t="n">
        <v>106355</v>
      </c>
    </row>
    <row r="366">
      <c r="A366" s="10" t="n">
        <v>46302</v>
      </c>
      <c r="B366" s="11" t="inlineStr">
        <is>
          <t>J41362</t>
        </is>
      </c>
      <c r="C366" s="11" t="n">
        <v>10</v>
      </c>
      <c r="D366" s="11" t="inlineStr">
        <is>
          <t>ערוץ מפיצים</t>
        </is>
      </c>
      <c r="E366" s="11" t="inlineStr">
        <is>
          <t>הוצאות תפעול</t>
        </is>
      </c>
      <c r="F366" s="11" t="inlineStr">
        <is>
          <t>שכר ונלוות</t>
        </is>
      </c>
      <c r="G366" s="12" t="n">
        <v>53625</v>
      </c>
    </row>
    <row r="367">
      <c r="A367" s="10" t="n">
        <v>46311</v>
      </c>
      <c r="B367" s="11" t="inlineStr">
        <is>
          <t>J41363</t>
        </is>
      </c>
      <c r="C367" s="11" t="n">
        <v>10</v>
      </c>
      <c r="D367" s="11" t="inlineStr">
        <is>
          <t>שירות ותמיכה</t>
        </is>
      </c>
      <c r="E367" s="11" t="inlineStr">
        <is>
          <t>הוצאות תפעול</t>
        </is>
      </c>
      <c r="F367" s="11" t="inlineStr">
        <is>
          <t>שכר ונלוות</t>
        </is>
      </c>
      <c r="G367" s="12" t="n">
        <v>29173</v>
      </c>
    </row>
    <row r="368">
      <c r="A368" s="10" t="n">
        <v>46320</v>
      </c>
      <c r="B368" s="11" t="inlineStr">
        <is>
          <t>J41364</t>
        </is>
      </c>
      <c r="C368" s="11" t="n">
        <v>10</v>
      </c>
      <c r="D368" s="11" t="inlineStr">
        <is>
          <t>מכירות ישירות</t>
        </is>
      </c>
      <c r="E368" s="11" t="inlineStr">
        <is>
          <t>הוצאות תפעול</t>
        </is>
      </c>
      <c r="F368" s="11" t="inlineStr">
        <is>
          <t>שכר דירה ואחזקה</t>
        </is>
      </c>
      <c r="G368" s="12" t="n">
        <v>13516</v>
      </c>
    </row>
    <row r="369">
      <c r="A369" s="10" t="n">
        <v>46320</v>
      </c>
      <c r="B369" s="11" t="inlineStr">
        <is>
          <t>J41365</t>
        </is>
      </c>
      <c r="C369" s="11" t="n">
        <v>10</v>
      </c>
      <c r="D369" s="11" t="inlineStr">
        <is>
          <t>ערוץ מפיצים</t>
        </is>
      </c>
      <c r="E369" s="11" t="inlineStr">
        <is>
          <t>הוצאות תפעול</t>
        </is>
      </c>
      <c r="F369" s="11" t="inlineStr">
        <is>
          <t>שכר דירה ואחזקה</t>
        </is>
      </c>
      <c r="G369" s="12" t="n">
        <v>12616</v>
      </c>
    </row>
    <row r="370">
      <c r="A370" s="10" t="n">
        <v>46312</v>
      </c>
      <c r="B370" s="11" t="inlineStr">
        <is>
          <t>J41366</t>
        </is>
      </c>
      <c r="C370" s="11" t="n">
        <v>10</v>
      </c>
      <c r="D370" s="11" t="inlineStr">
        <is>
          <t>שירות ותמיכה</t>
        </is>
      </c>
      <c r="E370" s="11" t="inlineStr">
        <is>
          <t>הוצאות תפעול</t>
        </is>
      </c>
      <c r="F370" s="11" t="inlineStr">
        <is>
          <t>שכר דירה ואחזקה</t>
        </is>
      </c>
      <c r="G370" s="12" t="n">
        <v>11575</v>
      </c>
    </row>
    <row r="371">
      <c r="A371" s="10" t="n">
        <v>46308</v>
      </c>
      <c r="B371" s="11" t="inlineStr">
        <is>
          <t>J41367</t>
        </is>
      </c>
      <c r="C371" s="11" t="n">
        <v>10</v>
      </c>
      <c r="D371" s="11" t="inlineStr">
        <is>
          <t>מכירות ישירות</t>
        </is>
      </c>
      <c r="E371" s="11" t="inlineStr">
        <is>
          <t>הוצאות תפעול</t>
        </is>
      </c>
      <c r="F371" s="11" t="inlineStr">
        <is>
          <t>הוצאות רכב</t>
        </is>
      </c>
      <c r="G371" s="12" t="n">
        <v>12474</v>
      </c>
    </row>
    <row r="372">
      <c r="A372" s="10" t="n">
        <v>46318</v>
      </c>
      <c r="B372" s="11" t="inlineStr">
        <is>
          <t>J41368</t>
        </is>
      </c>
      <c r="C372" s="11" t="n">
        <v>10</v>
      </c>
      <c r="D372" s="11" t="inlineStr">
        <is>
          <t>ערוץ מפיצים</t>
        </is>
      </c>
      <c r="E372" s="11" t="inlineStr">
        <is>
          <t>הוצאות תפעול</t>
        </is>
      </c>
      <c r="F372" s="11" t="inlineStr">
        <is>
          <t>הוצאות רכב</t>
        </is>
      </c>
      <c r="G372" s="12" t="n">
        <v>7294</v>
      </c>
    </row>
    <row r="373">
      <c r="A373" s="10" t="n">
        <v>46314</v>
      </c>
      <c r="B373" s="11" t="inlineStr">
        <is>
          <t>J41369</t>
        </is>
      </c>
      <c r="C373" s="11" t="n">
        <v>10</v>
      </c>
      <c r="D373" s="11" t="inlineStr">
        <is>
          <t>שירות ותמיכה</t>
        </is>
      </c>
      <c r="E373" s="11" t="inlineStr">
        <is>
          <t>הוצאות תפעול</t>
        </is>
      </c>
      <c r="F373" s="11" t="inlineStr">
        <is>
          <t>הוצאות רכב</t>
        </is>
      </c>
      <c r="G373" s="12" t="n">
        <v>3734</v>
      </c>
    </row>
    <row r="374">
      <c r="A374" s="10" t="n">
        <v>46314</v>
      </c>
      <c r="B374" s="11" t="inlineStr">
        <is>
          <t>J41370</t>
        </is>
      </c>
      <c r="C374" s="11" t="n">
        <v>10</v>
      </c>
      <c r="D374" s="11" t="inlineStr">
        <is>
          <t>מכירות ישירות</t>
        </is>
      </c>
      <c r="E374" s="11" t="inlineStr">
        <is>
          <t>הוצאות תפעול</t>
        </is>
      </c>
      <c r="F374" s="11" t="inlineStr">
        <is>
          <t>פרסום ושיווק</t>
        </is>
      </c>
      <c r="G374" s="12" t="n">
        <v>22018</v>
      </c>
    </row>
    <row r="375">
      <c r="A375" s="10" t="n">
        <v>46303</v>
      </c>
      <c r="B375" s="11" t="inlineStr">
        <is>
          <t>J41371</t>
        </is>
      </c>
      <c r="C375" s="11" t="n">
        <v>10</v>
      </c>
      <c r="D375" s="11" t="inlineStr">
        <is>
          <t>ערוץ מפיצים</t>
        </is>
      </c>
      <c r="E375" s="11" t="inlineStr">
        <is>
          <t>הוצאות תפעול</t>
        </is>
      </c>
      <c r="F375" s="11" t="inlineStr">
        <is>
          <t>פרסום ושיווק</t>
        </is>
      </c>
      <c r="G375" s="12" t="n">
        <v>13661</v>
      </c>
    </row>
    <row r="376">
      <c r="A376" s="10" t="n">
        <v>46312</v>
      </c>
      <c r="B376" s="11" t="inlineStr">
        <is>
          <t>J41372</t>
        </is>
      </c>
      <c r="C376" s="11" t="n">
        <v>10</v>
      </c>
      <c r="D376" s="11" t="inlineStr">
        <is>
          <t>שירות ותמיכה</t>
        </is>
      </c>
      <c r="E376" s="11" t="inlineStr">
        <is>
          <t>הוצאות תפעול</t>
        </is>
      </c>
      <c r="F376" s="11" t="inlineStr">
        <is>
          <t>פרסום ושיווק</t>
        </is>
      </c>
      <c r="G376" s="12" t="n">
        <v>6690</v>
      </c>
    </row>
    <row r="377">
      <c r="A377" s="10" t="n">
        <v>46322</v>
      </c>
      <c r="B377" s="11" t="inlineStr">
        <is>
          <t>J41373</t>
        </is>
      </c>
      <c r="C377" s="11" t="n">
        <v>10</v>
      </c>
      <c r="D377" s="11" t="inlineStr">
        <is>
          <t>מכירות ישירות</t>
        </is>
      </c>
      <c r="E377" s="11" t="inlineStr">
        <is>
          <t>הוצאות תפעול</t>
        </is>
      </c>
      <c r="F377" s="11" t="inlineStr">
        <is>
          <t>כיבודים ואירוח</t>
        </is>
      </c>
      <c r="G377" s="12" t="n">
        <v>2894</v>
      </c>
    </row>
    <row r="378">
      <c r="A378" s="10" t="n">
        <v>46317</v>
      </c>
      <c r="B378" s="11" t="inlineStr">
        <is>
          <t>J41374</t>
        </is>
      </c>
      <c r="C378" s="11" t="n">
        <v>10</v>
      </c>
      <c r="D378" s="11" t="inlineStr">
        <is>
          <t>ערוץ מפיצים</t>
        </is>
      </c>
      <c r="E378" s="11" t="inlineStr">
        <is>
          <t>הוצאות תפעול</t>
        </is>
      </c>
      <c r="F378" s="11" t="inlineStr">
        <is>
          <t>כיבודים ואירוח</t>
        </is>
      </c>
      <c r="G378" s="12" t="n">
        <v>1709</v>
      </c>
    </row>
    <row r="379">
      <c r="A379" s="10" t="n">
        <v>46317</v>
      </c>
      <c r="B379" s="11" t="inlineStr">
        <is>
          <t>J41375</t>
        </is>
      </c>
      <c r="C379" s="11" t="n">
        <v>10</v>
      </c>
      <c r="D379" s="11" t="inlineStr">
        <is>
          <t>שירות ותמיכה</t>
        </is>
      </c>
      <c r="E379" s="11" t="inlineStr">
        <is>
          <t>הוצאות תפעול</t>
        </is>
      </c>
      <c r="F379" s="11" t="inlineStr">
        <is>
          <t>כיבודים ואירוח</t>
        </is>
      </c>
      <c r="G379" s="12" t="n">
        <v>839</v>
      </c>
    </row>
    <row r="380">
      <c r="A380" s="10" t="n">
        <v>46314</v>
      </c>
      <c r="B380" s="11" t="inlineStr">
        <is>
          <t>J41376</t>
        </is>
      </c>
      <c r="C380" s="11" t="n">
        <v>10</v>
      </c>
      <c r="D380" s="11" t="inlineStr">
        <is>
          <t>מכירות ישירות</t>
        </is>
      </c>
      <c r="E380" s="11" t="inlineStr">
        <is>
          <t>הוצאות תפעול</t>
        </is>
      </c>
      <c r="F380" s="11" t="inlineStr">
        <is>
          <t>הוצאות משרד</t>
        </is>
      </c>
      <c r="G380" s="12" t="n">
        <v>6505</v>
      </c>
    </row>
    <row r="381">
      <c r="A381" s="10" t="n">
        <v>46312</v>
      </c>
      <c r="B381" s="11" t="inlineStr">
        <is>
          <t>J41377</t>
        </is>
      </c>
      <c r="C381" s="11" t="n">
        <v>10</v>
      </c>
      <c r="D381" s="11" t="inlineStr">
        <is>
          <t>ערוץ מפיצים</t>
        </is>
      </c>
      <c r="E381" s="11" t="inlineStr">
        <is>
          <t>הוצאות תפעול</t>
        </is>
      </c>
      <c r="F381" s="11" t="inlineStr">
        <is>
          <t>הוצאות משרד</t>
        </is>
      </c>
      <c r="G381" s="12" t="n">
        <v>3410</v>
      </c>
    </row>
    <row r="382">
      <c r="A382" s="10" t="n">
        <v>46311</v>
      </c>
      <c r="B382" s="11" t="inlineStr">
        <is>
          <t>J41378</t>
        </is>
      </c>
      <c r="C382" s="11" t="n">
        <v>10</v>
      </c>
      <c r="D382" s="11" t="inlineStr">
        <is>
          <t>שירות ותמיכה</t>
        </is>
      </c>
      <c r="E382" s="11" t="inlineStr">
        <is>
          <t>הוצאות תפעול</t>
        </is>
      </c>
      <c r="F382" s="11" t="inlineStr">
        <is>
          <t>הוצאות משרד</t>
        </is>
      </c>
      <c r="G382" s="12" t="n">
        <v>1762</v>
      </c>
    </row>
    <row r="383">
      <c r="A383" s="10" t="n">
        <v>46310</v>
      </c>
      <c r="B383" s="11" t="inlineStr">
        <is>
          <t>J41379</t>
        </is>
      </c>
      <c r="C383" s="11" t="n">
        <v>10</v>
      </c>
      <c r="D383" s="11" t="inlineStr">
        <is>
          <t>מכירות ישירות</t>
        </is>
      </c>
      <c r="E383" s="11" t="inlineStr">
        <is>
          <t>הוצאות תפעול</t>
        </is>
      </c>
      <c r="F383" s="11" t="inlineStr">
        <is>
          <t>עמלות סליקה</t>
        </is>
      </c>
      <c r="G383" s="12" t="n">
        <v>8718</v>
      </c>
    </row>
    <row r="384">
      <c r="A384" s="10" t="n">
        <v>46312</v>
      </c>
      <c r="B384" s="11" t="inlineStr">
        <is>
          <t>J41380</t>
        </is>
      </c>
      <c r="C384" s="11" t="n">
        <v>10</v>
      </c>
      <c r="D384" s="11" t="inlineStr">
        <is>
          <t>ערוץ מפיצים</t>
        </is>
      </c>
      <c r="E384" s="11" t="inlineStr">
        <is>
          <t>הוצאות תפעול</t>
        </is>
      </c>
      <c r="F384" s="11" t="inlineStr">
        <is>
          <t>עמלות סליקה</t>
        </is>
      </c>
      <c r="G384" s="12" t="n">
        <v>4123</v>
      </c>
    </row>
    <row r="385">
      <c r="A385" s="10" t="n">
        <v>46306</v>
      </c>
      <c r="B385" s="11" t="inlineStr">
        <is>
          <t>J41381</t>
        </is>
      </c>
      <c r="C385" s="11" t="n">
        <v>10</v>
      </c>
      <c r="D385" s="11" t="inlineStr">
        <is>
          <t>שירות ותמיכה</t>
        </is>
      </c>
      <c r="E385" s="11" t="inlineStr">
        <is>
          <t>הוצאות תפעול</t>
        </is>
      </c>
      <c r="F385" s="11" t="inlineStr">
        <is>
          <t>עמלות סליקה</t>
        </is>
      </c>
      <c r="G385" s="12" t="n">
        <v>1955</v>
      </c>
    </row>
    <row r="386">
      <c r="A386" s="10" t="n">
        <v>46298</v>
      </c>
      <c r="B386" s="11" t="inlineStr">
        <is>
          <t>J41382</t>
        </is>
      </c>
      <c r="C386" s="11" t="n">
        <v>10</v>
      </c>
      <c r="D386" s="11" t="inlineStr">
        <is>
          <t>מכירות ישירות</t>
        </is>
      </c>
      <c r="E386" s="11" t="inlineStr">
        <is>
          <t>הוצאות תפעול</t>
        </is>
      </c>
      <c r="F386" s="11" t="inlineStr">
        <is>
          <t>ייעוץ מקצועי</t>
        </is>
      </c>
      <c r="G386" s="12" t="n">
        <v>9481</v>
      </c>
    </row>
    <row r="387">
      <c r="A387" s="10" t="n">
        <v>46317</v>
      </c>
      <c r="B387" s="11" t="inlineStr">
        <is>
          <t>J41383</t>
        </is>
      </c>
      <c r="C387" s="11" t="n">
        <v>10</v>
      </c>
      <c r="D387" s="11" t="inlineStr">
        <is>
          <t>ערוץ מפיצים</t>
        </is>
      </c>
      <c r="E387" s="11" t="inlineStr">
        <is>
          <t>הוצאות תפעול</t>
        </is>
      </c>
      <c r="F387" s="11" t="inlineStr">
        <is>
          <t>ייעוץ מקצועי</t>
        </is>
      </c>
      <c r="G387" s="12" t="n">
        <v>4502</v>
      </c>
    </row>
    <row r="388">
      <c r="A388" s="10" t="n">
        <v>46300</v>
      </c>
      <c r="B388" s="11" t="inlineStr">
        <is>
          <t>J41384</t>
        </is>
      </c>
      <c r="C388" s="11" t="n">
        <v>10</v>
      </c>
      <c r="D388" s="11" t="inlineStr">
        <is>
          <t>שירות ותמיכה</t>
        </is>
      </c>
      <c r="E388" s="11" t="inlineStr">
        <is>
          <t>הוצאות תפעול</t>
        </is>
      </c>
      <c r="F388" s="11" t="inlineStr">
        <is>
          <t>ייעוץ מקצועי</t>
        </is>
      </c>
      <c r="G388" s="12" t="n">
        <v>2505</v>
      </c>
    </row>
    <row r="389">
      <c r="A389" s="10" t="n">
        <v>46322</v>
      </c>
      <c r="B389" s="11" t="inlineStr">
        <is>
          <t>J41385</t>
        </is>
      </c>
      <c r="C389" s="11" t="n">
        <v>10</v>
      </c>
      <c r="D389" s="11" t="inlineStr">
        <is>
          <t>מכירות ישירות</t>
        </is>
      </c>
      <c r="E389" s="11" t="inlineStr">
        <is>
          <t>הוצאות תפעול</t>
        </is>
      </c>
      <c r="F389" s="11" t="inlineStr">
        <is>
          <t>פחת</t>
        </is>
      </c>
      <c r="G389" s="12" t="n">
        <v>6199</v>
      </c>
    </row>
    <row r="390">
      <c r="A390" s="10" t="n">
        <v>46310</v>
      </c>
      <c r="B390" s="11" t="inlineStr">
        <is>
          <t>J41386</t>
        </is>
      </c>
      <c r="C390" s="11" t="n">
        <v>10</v>
      </c>
      <c r="D390" s="11" t="inlineStr">
        <is>
          <t>ערוץ מפיצים</t>
        </is>
      </c>
      <c r="E390" s="11" t="inlineStr">
        <is>
          <t>הוצאות תפעול</t>
        </is>
      </c>
      <c r="F390" s="11" t="inlineStr">
        <is>
          <t>פחת</t>
        </is>
      </c>
      <c r="G390" s="12" t="n">
        <v>5260</v>
      </c>
    </row>
    <row r="391">
      <c r="A391" s="10" t="n">
        <v>46322</v>
      </c>
      <c r="B391" s="11" t="inlineStr">
        <is>
          <t>J41387</t>
        </is>
      </c>
      <c r="C391" s="11" t="n">
        <v>10</v>
      </c>
      <c r="D391" s="11" t="inlineStr">
        <is>
          <t>שירות ותמיכה</t>
        </is>
      </c>
      <c r="E391" s="11" t="inlineStr">
        <is>
          <t>הוצאות תפעול</t>
        </is>
      </c>
      <c r="F391" s="11" t="inlineStr">
        <is>
          <t>פחת</t>
        </is>
      </c>
      <c r="G391" s="12" t="n">
        <v>5163</v>
      </c>
    </row>
    <row r="392">
      <c r="A392" s="10" t="n">
        <v>46299</v>
      </c>
      <c r="B392" s="11" t="inlineStr">
        <is>
          <t>J41388</t>
        </is>
      </c>
      <c r="C392" s="11" t="n">
        <v>10</v>
      </c>
      <c r="D392" s="11" t="inlineStr">
        <is>
          <t>מכירות ישירות</t>
        </is>
      </c>
      <c r="E392" s="11" t="inlineStr">
        <is>
          <t>הוצאות תפעול</t>
        </is>
      </c>
      <c r="F392" s="11" t="inlineStr">
        <is>
          <t>הוצאות מימון</t>
        </is>
      </c>
      <c r="G392" s="12" t="n">
        <v>3240</v>
      </c>
    </row>
    <row r="393">
      <c r="A393" s="10" t="n">
        <v>46297</v>
      </c>
      <c r="B393" s="11" t="inlineStr">
        <is>
          <t>J41389</t>
        </is>
      </c>
      <c r="C393" s="11" t="n">
        <v>10</v>
      </c>
      <c r="D393" s="11" t="inlineStr">
        <is>
          <t>ערוץ מפיצים</t>
        </is>
      </c>
      <c r="E393" s="11" t="inlineStr">
        <is>
          <t>הוצאות תפעול</t>
        </is>
      </c>
      <c r="F393" s="11" t="inlineStr">
        <is>
          <t>הוצאות מימון</t>
        </is>
      </c>
      <c r="G393" s="12" t="n">
        <v>3097</v>
      </c>
    </row>
    <row r="394">
      <c r="A394" s="10" t="n">
        <v>46312</v>
      </c>
      <c r="B394" s="11" t="inlineStr">
        <is>
          <t>J41390</t>
        </is>
      </c>
      <c r="C394" s="11" t="n">
        <v>10</v>
      </c>
      <c r="D394" s="11" t="inlineStr">
        <is>
          <t>שירות ותמיכה</t>
        </is>
      </c>
      <c r="E394" s="11" t="inlineStr">
        <is>
          <t>הוצאות תפעול</t>
        </is>
      </c>
      <c r="F394" s="11" t="inlineStr">
        <is>
          <t>הוצאות מימון</t>
        </is>
      </c>
      <c r="G394" s="12" t="n">
        <v>2747</v>
      </c>
    </row>
    <row r="395">
      <c r="A395" s="10" t="n">
        <v>46343</v>
      </c>
      <c r="B395" s="11" t="inlineStr">
        <is>
          <t>J41391</t>
        </is>
      </c>
      <c r="C395" s="11" t="n">
        <v>11</v>
      </c>
      <c r="D395" s="11" t="inlineStr">
        <is>
          <t>מכירות ישירות</t>
        </is>
      </c>
      <c r="E395" s="11" t="inlineStr">
        <is>
          <t>הכנסות</t>
        </is>
      </c>
      <c r="F395" s="11" t="inlineStr">
        <is>
          <t>הכנסות ממכירות</t>
        </is>
      </c>
      <c r="G395" s="12" t="n">
        <v>528086</v>
      </c>
    </row>
    <row r="396">
      <c r="A396" s="10" t="n">
        <v>46329</v>
      </c>
      <c r="B396" s="11" t="inlineStr">
        <is>
          <t>J41392</t>
        </is>
      </c>
      <c r="C396" s="11" t="n">
        <v>11</v>
      </c>
      <c r="D396" s="11" t="inlineStr">
        <is>
          <t>ערוץ מפיצים</t>
        </is>
      </c>
      <c r="E396" s="11" t="inlineStr">
        <is>
          <t>הכנסות</t>
        </is>
      </c>
      <c r="F396" s="11" t="inlineStr">
        <is>
          <t>הכנסות ממכירות</t>
        </is>
      </c>
      <c r="G396" s="12" t="n">
        <v>312598</v>
      </c>
    </row>
    <row r="397">
      <c r="A397" s="10" t="n">
        <v>46348</v>
      </c>
      <c r="B397" s="11" t="inlineStr">
        <is>
          <t>J41393</t>
        </is>
      </c>
      <c r="C397" s="11" t="n">
        <v>11</v>
      </c>
      <c r="D397" s="11" t="inlineStr">
        <is>
          <t>שירות ותמיכה</t>
        </is>
      </c>
      <c r="E397" s="11" t="inlineStr">
        <is>
          <t>הכנסות</t>
        </is>
      </c>
      <c r="F397" s="11" t="inlineStr">
        <is>
          <t>הכנסות ממכירות</t>
        </is>
      </c>
      <c r="G397" s="12" t="n">
        <v>171884</v>
      </c>
    </row>
    <row r="398">
      <c r="A398" s="10" t="n">
        <v>46336</v>
      </c>
      <c r="B398" s="11" t="inlineStr">
        <is>
          <t>J41394</t>
        </is>
      </c>
      <c r="C398" s="11" t="n">
        <v>11</v>
      </c>
      <c r="D398" s="11" t="inlineStr">
        <is>
          <t>מכירות ישירות</t>
        </is>
      </c>
      <c r="E398" s="11" t="inlineStr">
        <is>
          <t>הכנסות</t>
        </is>
      </c>
      <c r="F398" s="11" t="inlineStr">
        <is>
          <t>הכנסות משירות</t>
        </is>
      </c>
      <c r="G398" s="12" t="n">
        <v>5211</v>
      </c>
    </row>
    <row r="399">
      <c r="A399" s="10" t="n">
        <v>46344</v>
      </c>
      <c r="B399" s="11" t="inlineStr">
        <is>
          <t>J41395</t>
        </is>
      </c>
      <c r="C399" s="11" t="n">
        <v>11</v>
      </c>
      <c r="D399" s="11" t="inlineStr">
        <is>
          <t>ערוץ מפיצים</t>
        </is>
      </c>
      <c r="E399" s="11" t="inlineStr">
        <is>
          <t>הכנסות</t>
        </is>
      </c>
      <c r="F399" s="11" t="inlineStr">
        <is>
          <t>הכנסות משירות</t>
        </is>
      </c>
      <c r="G399" s="12" t="n">
        <v>5473</v>
      </c>
    </row>
    <row r="400">
      <c r="A400" s="10" t="n">
        <v>46335</v>
      </c>
      <c r="B400" s="11" t="inlineStr">
        <is>
          <t>J41396</t>
        </is>
      </c>
      <c r="C400" s="11" t="n">
        <v>11</v>
      </c>
      <c r="D400" s="11" t="inlineStr">
        <is>
          <t>שירות ותמיכה</t>
        </is>
      </c>
      <c r="E400" s="11" t="inlineStr">
        <is>
          <t>הכנסות</t>
        </is>
      </c>
      <c r="F400" s="11" t="inlineStr">
        <is>
          <t>הכנסות משירות</t>
        </is>
      </c>
      <c r="G400" s="12" t="n">
        <v>97445</v>
      </c>
    </row>
    <row r="401">
      <c r="A401" s="10" t="n">
        <v>46338</v>
      </c>
      <c r="B401" s="11" t="inlineStr">
        <is>
          <t>J41397</t>
        </is>
      </c>
      <c r="C401" s="11" t="n">
        <v>11</v>
      </c>
      <c r="D401" s="11" t="inlineStr">
        <is>
          <t>מכירות ישירות</t>
        </is>
      </c>
      <c r="E401" s="11" t="inlineStr">
        <is>
          <t>עלות המכר</t>
        </is>
      </c>
      <c r="F401" s="11" t="inlineStr">
        <is>
          <t>עלות המכר</t>
        </is>
      </c>
      <c r="G401" s="12" t="n">
        <v>399148</v>
      </c>
    </row>
    <row r="402">
      <c r="A402" s="10" t="n">
        <v>46332</v>
      </c>
      <c r="B402" s="11" t="inlineStr">
        <is>
          <t>J41398</t>
        </is>
      </c>
      <c r="C402" s="11" t="n">
        <v>11</v>
      </c>
      <c r="D402" s="11" t="inlineStr">
        <is>
          <t>ערוץ מפיצים</t>
        </is>
      </c>
      <c r="E402" s="11" t="inlineStr">
        <is>
          <t>עלות המכר</t>
        </is>
      </c>
      <c r="F402" s="11" t="inlineStr">
        <is>
          <t>עלות המכר</t>
        </is>
      </c>
      <c r="G402" s="12" t="n">
        <v>207577</v>
      </c>
    </row>
    <row r="403">
      <c r="A403" s="10" t="n">
        <v>46347</v>
      </c>
      <c r="B403" s="11" t="inlineStr">
        <is>
          <t>J41399</t>
        </is>
      </c>
      <c r="C403" s="11" t="n">
        <v>11</v>
      </c>
      <c r="D403" s="11" t="inlineStr">
        <is>
          <t>שירות ותמיכה</t>
        </is>
      </c>
      <c r="E403" s="11" t="inlineStr">
        <is>
          <t>עלות המכר</t>
        </is>
      </c>
      <c r="F403" s="11" t="inlineStr">
        <is>
          <t>עלות המכר</t>
        </is>
      </c>
      <c r="G403" s="12" t="n">
        <v>122537</v>
      </c>
    </row>
    <row r="404">
      <c r="A404" s="10" t="n">
        <v>46353</v>
      </c>
      <c r="B404" s="11" t="inlineStr">
        <is>
          <t>J41400</t>
        </is>
      </c>
      <c r="C404" s="11" t="n">
        <v>11</v>
      </c>
      <c r="D404" s="11" t="inlineStr">
        <is>
          <t>מכירות ישירות</t>
        </is>
      </c>
      <c r="E404" s="11" t="inlineStr">
        <is>
          <t>הוצאות תפעול</t>
        </is>
      </c>
      <c r="F404" s="11" t="inlineStr">
        <is>
          <t>שכר ונלוות</t>
        </is>
      </c>
      <c r="G404" s="12" t="n">
        <v>97883</v>
      </c>
    </row>
    <row r="405">
      <c r="A405" s="10" t="n">
        <v>46342</v>
      </c>
      <c r="B405" s="11" t="inlineStr">
        <is>
          <t>J41401</t>
        </is>
      </c>
      <c r="C405" s="11" t="n">
        <v>11</v>
      </c>
      <c r="D405" s="11" t="inlineStr">
        <is>
          <t>ערוץ מפיצים</t>
        </is>
      </c>
      <c r="E405" s="11" t="inlineStr">
        <is>
          <t>הוצאות תפעול</t>
        </is>
      </c>
      <c r="F405" s="11" t="inlineStr">
        <is>
          <t>שכר ונלוות</t>
        </is>
      </c>
      <c r="G405" s="12" t="n">
        <v>48890</v>
      </c>
    </row>
    <row r="406">
      <c r="A406" s="10" t="n">
        <v>46330</v>
      </c>
      <c r="B406" s="11" t="inlineStr">
        <is>
          <t>J41402</t>
        </is>
      </c>
      <c r="C406" s="11" t="n">
        <v>11</v>
      </c>
      <c r="D406" s="11" t="inlineStr">
        <is>
          <t>שירות ותמיכה</t>
        </is>
      </c>
      <c r="E406" s="11" t="inlineStr">
        <is>
          <t>הוצאות תפעול</t>
        </is>
      </c>
      <c r="F406" s="11" t="inlineStr">
        <is>
          <t>שכר ונלוות</t>
        </is>
      </c>
      <c r="G406" s="12" t="n">
        <v>26706</v>
      </c>
    </row>
    <row r="407">
      <c r="A407" s="10" t="n">
        <v>46332</v>
      </c>
      <c r="B407" s="11" t="inlineStr">
        <is>
          <t>J41403</t>
        </is>
      </c>
      <c r="C407" s="11" t="n">
        <v>11</v>
      </c>
      <c r="D407" s="11" t="inlineStr">
        <is>
          <t>מכירות ישירות</t>
        </is>
      </c>
      <c r="E407" s="11" t="inlineStr">
        <is>
          <t>הוצאות תפעול</t>
        </is>
      </c>
      <c r="F407" s="11" t="inlineStr">
        <is>
          <t>שכר דירה ואחזקה</t>
        </is>
      </c>
      <c r="G407" s="12" t="n">
        <v>10754</v>
      </c>
    </row>
    <row r="408">
      <c r="A408" s="10" t="n">
        <v>46328</v>
      </c>
      <c r="B408" s="11" t="inlineStr">
        <is>
          <t>J41404</t>
        </is>
      </c>
      <c r="C408" s="11" t="n">
        <v>11</v>
      </c>
      <c r="D408" s="11" t="inlineStr">
        <is>
          <t>ערוץ מפיצים</t>
        </is>
      </c>
      <c r="E408" s="11" t="inlineStr">
        <is>
          <t>הוצאות תפעול</t>
        </is>
      </c>
      <c r="F408" s="11" t="inlineStr">
        <is>
          <t>שכר דירה ואחזקה</t>
        </is>
      </c>
      <c r="G408" s="12" t="n">
        <v>12091</v>
      </c>
    </row>
    <row r="409">
      <c r="A409" s="10" t="n">
        <v>46339</v>
      </c>
      <c r="B409" s="11" t="inlineStr">
        <is>
          <t>J41405</t>
        </is>
      </c>
      <c r="C409" s="11" t="n">
        <v>11</v>
      </c>
      <c r="D409" s="11" t="inlineStr">
        <is>
          <t>שירות ותמיכה</t>
        </is>
      </c>
      <c r="E409" s="11" t="inlineStr">
        <is>
          <t>הוצאות תפעול</t>
        </is>
      </c>
      <c r="F409" s="11" t="inlineStr">
        <is>
          <t>שכר דירה ואחזקה</t>
        </is>
      </c>
      <c r="G409" s="12" t="n">
        <v>10674</v>
      </c>
    </row>
    <row r="410">
      <c r="A410" s="10" t="n">
        <v>46337</v>
      </c>
      <c r="B410" s="11" t="inlineStr">
        <is>
          <t>J41406</t>
        </is>
      </c>
      <c r="C410" s="11" t="n">
        <v>11</v>
      </c>
      <c r="D410" s="11" t="inlineStr">
        <is>
          <t>מכירות ישירות</t>
        </is>
      </c>
      <c r="E410" s="11" t="inlineStr">
        <is>
          <t>הוצאות תפעול</t>
        </is>
      </c>
      <c r="F410" s="11" t="inlineStr">
        <is>
          <t>הוצאות רכב</t>
        </is>
      </c>
      <c r="G410" s="12" t="n">
        <v>13871</v>
      </c>
    </row>
    <row r="411">
      <c r="A411" s="10" t="n">
        <v>46338</v>
      </c>
      <c r="B411" s="11" t="inlineStr">
        <is>
          <t>J41407</t>
        </is>
      </c>
      <c r="C411" s="11" t="n">
        <v>11</v>
      </c>
      <c r="D411" s="11" t="inlineStr">
        <is>
          <t>ערוץ מפיצים</t>
        </is>
      </c>
      <c r="E411" s="11" t="inlineStr">
        <is>
          <t>הוצאות תפעול</t>
        </is>
      </c>
      <c r="F411" s="11" t="inlineStr">
        <is>
          <t>הוצאות רכב</t>
        </is>
      </c>
      <c r="G411" s="12" t="n">
        <v>6626</v>
      </c>
    </row>
    <row r="412">
      <c r="A412" s="10" t="n">
        <v>46347</v>
      </c>
      <c r="B412" s="11" t="inlineStr">
        <is>
          <t>J41408</t>
        </is>
      </c>
      <c r="C412" s="11" t="n">
        <v>11</v>
      </c>
      <c r="D412" s="11" t="inlineStr">
        <is>
          <t>שירות ותמיכה</t>
        </is>
      </c>
      <c r="E412" s="11" t="inlineStr">
        <is>
          <t>הוצאות תפעול</t>
        </is>
      </c>
      <c r="F412" s="11" t="inlineStr">
        <is>
          <t>הוצאות רכב</t>
        </is>
      </c>
      <c r="G412" s="12" t="n">
        <v>3686</v>
      </c>
    </row>
    <row r="413">
      <c r="A413" s="10" t="n">
        <v>46348</v>
      </c>
      <c r="B413" s="11" t="inlineStr">
        <is>
          <t>J41409</t>
        </is>
      </c>
      <c r="C413" s="11" t="n">
        <v>11</v>
      </c>
      <c r="D413" s="11" t="inlineStr">
        <is>
          <t>מכירות ישירות</t>
        </is>
      </c>
      <c r="E413" s="11" t="inlineStr">
        <is>
          <t>הוצאות תפעול</t>
        </is>
      </c>
      <c r="F413" s="11" t="inlineStr">
        <is>
          <t>פרסום ושיווק</t>
        </is>
      </c>
      <c r="G413" s="12" t="n">
        <v>21120</v>
      </c>
    </row>
    <row r="414">
      <c r="A414" s="10" t="n">
        <v>46349</v>
      </c>
      <c r="B414" s="11" t="inlineStr">
        <is>
          <t>J41410</t>
        </is>
      </c>
      <c r="C414" s="11" t="n">
        <v>11</v>
      </c>
      <c r="D414" s="11" t="inlineStr">
        <is>
          <t>ערוץ מפיצים</t>
        </is>
      </c>
      <c r="E414" s="11" t="inlineStr">
        <is>
          <t>הוצאות תפעול</t>
        </is>
      </c>
      <c r="F414" s="11" t="inlineStr">
        <is>
          <t>פרסום ושיווק</t>
        </is>
      </c>
      <c r="G414" s="12" t="n">
        <v>11182</v>
      </c>
    </row>
    <row r="415">
      <c r="A415" s="10" t="n">
        <v>46343</v>
      </c>
      <c r="B415" s="11" t="inlineStr">
        <is>
          <t>J41411</t>
        </is>
      </c>
      <c r="C415" s="11" t="n">
        <v>11</v>
      </c>
      <c r="D415" s="11" t="inlineStr">
        <is>
          <t>שירות ותמיכה</t>
        </is>
      </c>
      <c r="E415" s="11" t="inlineStr">
        <is>
          <t>הוצאות תפעול</t>
        </is>
      </c>
      <c r="F415" s="11" t="inlineStr">
        <is>
          <t>פרסום ושיווק</t>
        </is>
      </c>
      <c r="G415" s="12" t="n">
        <v>6099</v>
      </c>
    </row>
    <row r="416">
      <c r="A416" s="10" t="n">
        <v>46338</v>
      </c>
      <c r="B416" s="11" t="inlineStr">
        <is>
          <t>J41412</t>
        </is>
      </c>
      <c r="C416" s="11" t="n">
        <v>11</v>
      </c>
      <c r="D416" s="11" t="inlineStr">
        <is>
          <t>מכירות ישירות</t>
        </is>
      </c>
      <c r="E416" s="11" t="inlineStr">
        <is>
          <t>הוצאות תפעול</t>
        </is>
      </c>
      <c r="F416" s="11" t="inlineStr">
        <is>
          <t>כיבודים ואירוח</t>
        </is>
      </c>
      <c r="G416" s="12" t="n">
        <v>2685</v>
      </c>
    </row>
    <row r="417">
      <c r="A417" s="10" t="n">
        <v>46329</v>
      </c>
      <c r="B417" s="11" t="inlineStr">
        <is>
          <t>J41413</t>
        </is>
      </c>
      <c r="C417" s="11" t="n">
        <v>11</v>
      </c>
      <c r="D417" s="11" t="inlineStr">
        <is>
          <t>ערוץ מפיצים</t>
        </is>
      </c>
      <c r="E417" s="11" t="inlineStr">
        <is>
          <t>הוצאות תפעול</t>
        </is>
      </c>
      <c r="F417" s="11" t="inlineStr">
        <is>
          <t>כיבודים ואירוח</t>
        </is>
      </c>
      <c r="G417" s="12" t="n">
        <v>1712</v>
      </c>
    </row>
    <row r="418">
      <c r="A418" s="10" t="n">
        <v>46336</v>
      </c>
      <c r="B418" s="11" t="inlineStr">
        <is>
          <t>J41414</t>
        </is>
      </c>
      <c r="C418" s="11" t="n">
        <v>11</v>
      </c>
      <c r="D418" s="11" t="inlineStr">
        <is>
          <t>שירות ותמיכה</t>
        </is>
      </c>
      <c r="E418" s="11" t="inlineStr">
        <is>
          <t>הוצאות תפעול</t>
        </is>
      </c>
      <c r="F418" s="11" t="inlineStr">
        <is>
          <t>כיבודים ואירוח</t>
        </is>
      </c>
      <c r="G418" s="12" t="n">
        <v>856</v>
      </c>
    </row>
    <row r="419">
      <c r="A419" s="10" t="n">
        <v>46342</v>
      </c>
      <c r="B419" s="11" t="inlineStr">
        <is>
          <t>J41415</t>
        </is>
      </c>
      <c r="C419" s="11" t="n">
        <v>11</v>
      </c>
      <c r="D419" s="11" t="inlineStr">
        <is>
          <t>מכירות ישירות</t>
        </is>
      </c>
      <c r="E419" s="11" t="inlineStr">
        <is>
          <t>הוצאות תפעול</t>
        </is>
      </c>
      <c r="F419" s="11" t="inlineStr">
        <is>
          <t>הוצאות משרד</t>
        </is>
      </c>
      <c r="G419" s="12" t="n">
        <v>5821</v>
      </c>
    </row>
    <row r="420">
      <c r="A420" s="10" t="n">
        <v>46349</v>
      </c>
      <c r="B420" s="11" t="inlineStr">
        <is>
          <t>J41416</t>
        </is>
      </c>
      <c r="C420" s="11" t="n">
        <v>11</v>
      </c>
      <c r="D420" s="11" t="inlineStr">
        <is>
          <t>ערוץ מפיצים</t>
        </is>
      </c>
      <c r="E420" s="11" t="inlineStr">
        <is>
          <t>הוצאות תפעול</t>
        </is>
      </c>
      <c r="F420" s="11" t="inlineStr">
        <is>
          <t>הוצאות משרד</t>
        </is>
      </c>
      <c r="G420" s="12" t="n">
        <v>3106</v>
      </c>
    </row>
    <row r="421">
      <c r="A421" s="10" t="n">
        <v>46329</v>
      </c>
      <c r="B421" s="11" t="inlineStr">
        <is>
          <t>J41417</t>
        </is>
      </c>
      <c r="C421" s="11" t="n">
        <v>11</v>
      </c>
      <c r="D421" s="11" t="inlineStr">
        <is>
          <t>שירות ותמיכה</t>
        </is>
      </c>
      <c r="E421" s="11" t="inlineStr">
        <is>
          <t>הוצאות תפעול</t>
        </is>
      </c>
      <c r="F421" s="11" t="inlineStr">
        <is>
          <t>הוצאות משרד</t>
        </is>
      </c>
      <c r="G421" s="12" t="n">
        <v>1539</v>
      </c>
    </row>
    <row r="422">
      <c r="A422" s="10" t="n">
        <v>46330</v>
      </c>
      <c r="B422" s="11" t="inlineStr">
        <is>
          <t>J41418</t>
        </is>
      </c>
      <c r="C422" s="11" t="n">
        <v>11</v>
      </c>
      <c r="D422" s="11" t="inlineStr">
        <is>
          <t>מכירות ישירות</t>
        </is>
      </c>
      <c r="E422" s="11" t="inlineStr">
        <is>
          <t>הוצאות תפעול</t>
        </is>
      </c>
      <c r="F422" s="11" t="inlineStr">
        <is>
          <t>עמלות סליקה</t>
        </is>
      </c>
      <c r="G422" s="12" t="n">
        <v>7864</v>
      </c>
    </row>
    <row r="423">
      <c r="A423" s="10" t="n">
        <v>46353</v>
      </c>
      <c r="B423" s="11" t="inlineStr">
        <is>
          <t>J41419</t>
        </is>
      </c>
      <c r="C423" s="11" t="n">
        <v>11</v>
      </c>
      <c r="D423" s="11" t="inlineStr">
        <is>
          <t>ערוץ מפיצים</t>
        </is>
      </c>
      <c r="E423" s="11" t="inlineStr">
        <is>
          <t>הוצאות תפעול</t>
        </is>
      </c>
      <c r="F423" s="11" t="inlineStr">
        <is>
          <t>עמלות סליקה</t>
        </is>
      </c>
      <c r="G423" s="12" t="n">
        <v>4203</v>
      </c>
    </row>
    <row r="424">
      <c r="A424" s="10" t="n">
        <v>46342</v>
      </c>
      <c r="B424" s="11" t="inlineStr">
        <is>
          <t>J41420</t>
        </is>
      </c>
      <c r="C424" s="11" t="n">
        <v>11</v>
      </c>
      <c r="D424" s="11" t="inlineStr">
        <is>
          <t>שירות ותמיכה</t>
        </is>
      </c>
      <c r="E424" s="11" t="inlineStr">
        <is>
          <t>הוצאות תפעול</t>
        </is>
      </c>
      <c r="F424" s="11" t="inlineStr">
        <is>
          <t>עמלות סליקה</t>
        </is>
      </c>
      <c r="G424" s="12" t="n">
        <v>2111</v>
      </c>
    </row>
    <row r="425">
      <c r="A425" s="10" t="n">
        <v>46346</v>
      </c>
      <c r="B425" s="11" t="inlineStr">
        <is>
          <t>J41421</t>
        </is>
      </c>
      <c r="C425" s="11" t="n">
        <v>11</v>
      </c>
      <c r="D425" s="11" t="inlineStr">
        <is>
          <t>מכירות ישירות</t>
        </is>
      </c>
      <c r="E425" s="11" t="inlineStr">
        <is>
          <t>הוצאות תפעול</t>
        </is>
      </c>
      <c r="F425" s="11" t="inlineStr">
        <is>
          <t>ייעוץ מקצועי</t>
        </is>
      </c>
      <c r="G425" s="12" t="n">
        <v>7963</v>
      </c>
    </row>
    <row r="426">
      <c r="A426" s="10" t="n">
        <v>46337</v>
      </c>
      <c r="B426" s="11" t="inlineStr">
        <is>
          <t>J41422</t>
        </is>
      </c>
      <c r="C426" s="11" t="n">
        <v>11</v>
      </c>
      <c r="D426" s="11" t="inlineStr">
        <is>
          <t>ערוץ מפיצים</t>
        </is>
      </c>
      <c r="E426" s="11" t="inlineStr">
        <is>
          <t>הוצאות תפעול</t>
        </is>
      </c>
      <c r="F426" s="11" t="inlineStr">
        <is>
          <t>ייעוץ מקצועי</t>
        </is>
      </c>
      <c r="G426" s="12" t="n">
        <v>4342</v>
      </c>
    </row>
    <row r="427">
      <c r="A427" s="10" t="n">
        <v>46329</v>
      </c>
      <c r="B427" s="11" t="inlineStr">
        <is>
          <t>J41423</t>
        </is>
      </c>
      <c r="C427" s="11" t="n">
        <v>11</v>
      </c>
      <c r="D427" s="11" t="inlineStr">
        <is>
          <t>שירות ותמיכה</t>
        </is>
      </c>
      <c r="E427" s="11" t="inlineStr">
        <is>
          <t>הוצאות תפעול</t>
        </is>
      </c>
      <c r="F427" s="11" t="inlineStr">
        <is>
          <t>ייעוץ מקצועי</t>
        </is>
      </c>
      <c r="G427" s="12" t="n">
        <v>2413</v>
      </c>
    </row>
    <row r="428">
      <c r="A428" s="10" t="n">
        <v>46329</v>
      </c>
      <c r="B428" s="11" t="inlineStr">
        <is>
          <t>J41424</t>
        </is>
      </c>
      <c r="C428" s="11" t="n">
        <v>11</v>
      </c>
      <c r="D428" s="11" t="inlineStr">
        <is>
          <t>מכירות ישירות</t>
        </is>
      </c>
      <c r="E428" s="11" t="inlineStr">
        <is>
          <t>הוצאות תפעול</t>
        </is>
      </c>
      <c r="F428" s="11" t="inlineStr">
        <is>
          <t>פחת</t>
        </is>
      </c>
      <c r="G428" s="12" t="n">
        <v>5231</v>
      </c>
    </row>
    <row r="429">
      <c r="A429" s="10" t="n">
        <v>46335</v>
      </c>
      <c r="B429" s="11" t="inlineStr">
        <is>
          <t>J41425</t>
        </is>
      </c>
      <c r="C429" s="11" t="n">
        <v>11</v>
      </c>
      <c r="D429" s="11" t="inlineStr">
        <is>
          <t>ערוץ מפיצים</t>
        </is>
      </c>
      <c r="E429" s="11" t="inlineStr">
        <is>
          <t>הוצאות תפעול</t>
        </is>
      </c>
      <c r="F429" s="11" t="inlineStr">
        <is>
          <t>פחת</t>
        </is>
      </c>
      <c r="G429" s="12" t="n">
        <v>5453</v>
      </c>
    </row>
    <row r="430">
      <c r="A430" s="10" t="n">
        <v>46350</v>
      </c>
      <c r="B430" s="11" t="inlineStr">
        <is>
          <t>J41426</t>
        </is>
      </c>
      <c r="C430" s="11" t="n">
        <v>11</v>
      </c>
      <c r="D430" s="11" t="inlineStr">
        <is>
          <t>שירות ותמיכה</t>
        </is>
      </c>
      <c r="E430" s="11" t="inlineStr">
        <is>
          <t>הוצאות תפעול</t>
        </is>
      </c>
      <c r="F430" s="11" t="inlineStr">
        <is>
          <t>פחת</t>
        </is>
      </c>
      <c r="G430" s="12" t="n">
        <v>5293</v>
      </c>
    </row>
    <row r="431">
      <c r="A431" s="10" t="n">
        <v>46348</v>
      </c>
      <c r="B431" s="11" t="inlineStr">
        <is>
          <t>J41427</t>
        </is>
      </c>
      <c r="C431" s="11" t="n">
        <v>11</v>
      </c>
      <c r="D431" s="11" t="inlineStr">
        <is>
          <t>מכירות ישירות</t>
        </is>
      </c>
      <c r="E431" s="11" t="inlineStr">
        <is>
          <t>הוצאות תפעול</t>
        </is>
      </c>
      <c r="F431" s="11" t="inlineStr">
        <is>
          <t>הוצאות מימון</t>
        </is>
      </c>
      <c r="G431" s="12" t="n">
        <v>3106</v>
      </c>
    </row>
    <row r="432">
      <c r="A432" s="10" t="n">
        <v>46346</v>
      </c>
      <c r="B432" s="11" t="inlineStr">
        <is>
          <t>J41428</t>
        </is>
      </c>
      <c r="C432" s="11" t="n">
        <v>11</v>
      </c>
      <c r="D432" s="11" t="inlineStr">
        <is>
          <t>ערוץ מפיצים</t>
        </is>
      </c>
      <c r="E432" s="11" t="inlineStr">
        <is>
          <t>הוצאות תפעול</t>
        </is>
      </c>
      <c r="F432" s="11" t="inlineStr">
        <is>
          <t>הוצאות מימון</t>
        </is>
      </c>
      <c r="G432" s="12" t="n">
        <v>2728</v>
      </c>
    </row>
    <row r="433">
      <c r="A433" s="10" t="n">
        <v>46338</v>
      </c>
      <c r="B433" s="11" t="inlineStr">
        <is>
          <t>J41429</t>
        </is>
      </c>
      <c r="C433" s="11" t="n">
        <v>11</v>
      </c>
      <c r="D433" s="11" t="inlineStr">
        <is>
          <t>שירות ותמיכה</t>
        </is>
      </c>
      <c r="E433" s="11" t="inlineStr">
        <is>
          <t>הוצאות תפעול</t>
        </is>
      </c>
      <c r="F433" s="11" t="inlineStr">
        <is>
          <t>הוצאות מימון</t>
        </is>
      </c>
      <c r="G433" s="12" t="n">
        <v>2611</v>
      </c>
    </row>
    <row r="434">
      <c r="A434" s="10" t="n">
        <v>46369</v>
      </c>
      <c r="B434" s="11" t="inlineStr">
        <is>
          <t>J41430</t>
        </is>
      </c>
      <c r="C434" s="11" t="n">
        <v>12</v>
      </c>
      <c r="D434" s="11" t="inlineStr">
        <is>
          <t>מכירות ישירות</t>
        </is>
      </c>
      <c r="E434" s="11" t="inlineStr">
        <is>
          <t>הכנסות</t>
        </is>
      </c>
      <c r="F434" s="11" t="inlineStr">
        <is>
          <t>הכנסות ממכירות</t>
        </is>
      </c>
      <c r="G434" s="12" t="n">
        <v>662337</v>
      </c>
    </row>
    <row r="435">
      <c r="A435" s="10" t="n">
        <v>46379</v>
      </c>
      <c r="B435" s="11" t="inlineStr">
        <is>
          <t>J41431</t>
        </is>
      </c>
      <c r="C435" s="11" t="n">
        <v>12</v>
      </c>
      <c r="D435" s="11" t="inlineStr">
        <is>
          <t>ערוץ מפיצים</t>
        </is>
      </c>
      <c r="E435" s="11" t="inlineStr">
        <is>
          <t>הכנסות</t>
        </is>
      </c>
      <c r="F435" s="11" t="inlineStr">
        <is>
          <t>הכנסות ממכירות</t>
        </is>
      </c>
      <c r="G435" s="12" t="n">
        <v>375428</v>
      </c>
    </row>
    <row r="436">
      <c r="A436" s="10" t="n">
        <v>46371</v>
      </c>
      <c r="B436" s="11" t="inlineStr">
        <is>
          <t>J41432</t>
        </is>
      </c>
      <c r="C436" s="11" t="n">
        <v>12</v>
      </c>
      <c r="D436" s="11" t="inlineStr">
        <is>
          <t>שירות ותמיכה</t>
        </is>
      </c>
      <c r="E436" s="11" t="inlineStr">
        <is>
          <t>הכנסות</t>
        </is>
      </c>
      <c r="F436" s="11" t="inlineStr">
        <is>
          <t>הכנסות ממכירות</t>
        </is>
      </c>
      <c r="G436" s="12" t="n">
        <v>183440</v>
      </c>
    </row>
    <row r="437">
      <c r="A437" s="10" t="n">
        <v>46375</v>
      </c>
      <c r="B437" s="11" t="inlineStr">
        <is>
          <t>J41433</t>
        </is>
      </c>
      <c r="C437" s="11" t="n">
        <v>12</v>
      </c>
      <c r="D437" s="11" t="inlineStr">
        <is>
          <t>מכירות ישירות</t>
        </is>
      </c>
      <c r="E437" s="11" t="inlineStr">
        <is>
          <t>הכנסות</t>
        </is>
      </c>
      <c r="F437" s="11" t="inlineStr">
        <is>
          <t>הכנסות משירות</t>
        </is>
      </c>
      <c r="G437" s="12" t="n">
        <v>6399</v>
      </c>
    </row>
    <row r="438">
      <c r="A438" s="10" t="n">
        <v>46359</v>
      </c>
      <c r="B438" s="11" t="inlineStr">
        <is>
          <t>J41434</t>
        </is>
      </c>
      <c r="C438" s="11" t="n">
        <v>12</v>
      </c>
      <c r="D438" s="11" t="inlineStr">
        <is>
          <t>ערוץ מפיצים</t>
        </is>
      </c>
      <c r="E438" s="11" t="inlineStr">
        <is>
          <t>הכנסות</t>
        </is>
      </c>
      <c r="F438" s="11" t="inlineStr">
        <is>
          <t>הכנסות משירות</t>
        </is>
      </c>
      <c r="G438" s="12" t="n">
        <v>6339</v>
      </c>
    </row>
    <row r="439">
      <c r="A439" s="10" t="n">
        <v>46375</v>
      </c>
      <c r="B439" s="11" t="inlineStr">
        <is>
          <t>J41435</t>
        </is>
      </c>
      <c r="C439" s="11" t="n">
        <v>12</v>
      </c>
      <c r="D439" s="11" t="inlineStr">
        <is>
          <t>שירות ותמיכה</t>
        </is>
      </c>
      <c r="E439" s="11" t="inlineStr">
        <is>
          <t>הכנסות</t>
        </is>
      </c>
      <c r="F439" s="11" t="inlineStr">
        <is>
          <t>הכנסות משירות</t>
        </is>
      </c>
      <c r="G439" s="12" t="n">
        <v>109097</v>
      </c>
    </row>
    <row r="440">
      <c r="A440" s="10" t="n">
        <v>46369</v>
      </c>
      <c r="B440" s="11" t="inlineStr">
        <is>
          <t>J41436</t>
        </is>
      </c>
      <c r="C440" s="11" t="n">
        <v>12</v>
      </c>
      <c r="D440" s="11" t="inlineStr">
        <is>
          <t>מכירות ישירות</t>
        </is>
      </c>
      <c r="E440" s="11" t="inlineStr">
        <is>
          <t>עלות המכר</t>
        </is>
      </c>
      <c r="F440" s="11" t="inlineStr">
        <is>
          <t>עלות המכר</t>
        </is>
      </c>
      <c r="G440" s="12" t="n">
        <v>484076</v>
      </c>
    </row>
    <row r="441">
      <c r="A441" s="10" t="n">
        <v>46378</v>
      </c>
      <c r="B441" s="11" t="inlineStr">
        <is>
          <t>J41437</t>
        </is>
      </c>
      <c r="C441" s="11" t="n">
        <v>12</v>
      </c>
      <c r="D441" s="11" t="inlineStr">
        <is>
          <t>ערוץ מפיצים</t>
        </is>
      </c>
      <c r="E441" s="11" t="inlineStr">
        <is>
          <t>עלות המכר</t>
        </is>
      </c>
      <c r="F441" s="11" t="inlineStr">
        <is>
          <t>עלות המכר</t>
        </is>
      </c>
      <c r="G441" s="12" t="n">
        <v>263494</v>
      </c>
    </row>
    <row r="442">
      <c r="A442" s="10" t="n">
        <v>46379</v>
      </c>
      <c r="B442" s="11" t="inlineStr">
        <is>
          <t>J41438</t>
        </is>
      </c>
      <c r="C442" s="11" t="n">
        <v>12</v>
      </c>
      <c r="D442" s="11" t="inlineStr">
        <is>
          <t>שירות ותמיכה</t>
        </is>
      </c>
      <c r="E442" s="11" t="inlineStr">
        <is>
          <t>עלות המכר</t>
        </is>
      </c>
      <c r="F442" s="11" t="inlineStr">
        <is>
          <t>עלות המכר</t>
        </is>
      </c>
      <c r="G442" s="12" t="n">
        <v>139480</v>
      </c>
    </row>
    <row r="443">
      <c r="A443" s="10" t="n">
        <v>46360</v>
      </c>
      <c r="B443" s="11" t="inlineStr">
        <is>
          <t>J41439</t>
        </is>
      </c>
      <c r="C443" s="11" t="n">
        <v>12</v>
      </c>
      <c r="D443" s="11" t="inlineStr">
        <is>
          <t>מכירות ישירות</t>
        </is>
      </c>
      <c r="E443" s="11" t="inlineStr">
        <is>
          <t>הוצאות תפעול</t>
        </is>
      </c>
      <c r="F443" s="11" t="inlineStr">
        <is>
          <t>שכר ונלוות</t>
        </is>
      </c>
      <c r="G443" s="12" t="n">
        <v>110733</v>
      </c>
    </row>
    <row r="444">
      <c r="A444" s="10" t="n">
        <v>46382</v>
      </c>
      <c r="B444" s="11" t="inlineStr">
        <is>
          <t>J41440</t>
        </is>
      </c>
      <c r="C444" s="11" t="n">
        <v>12</v>
      </c>
      <c r="D444" s="11" t="inlineStr">
        <is>
          <t>ערוץ מפיצים</t>
        </is>
      </c>
      <c r="E444" s="11" t="inlineStr">
        <is>
          <t>הוצאות תפעול</t>
        </is>
      </c>
      <c r="F444" s="11" t="inlineStr">
        <is>
          <t>שכר ונלוות</t>
        </is>
      </c>
      <c r="G444" s="12" t="n">
        <v>64673</v>
      </c>
    </row>
    <row r="445">
      <c r="A445" s="10" t="n">
        <v>46383</v>
      </c>
      <c r="B445" s="11" t="inlineStr">
        <is>
          <t>J41441</t>
        </is>
      </c>
      <c r="C445" s="11" t="n">
        <v>12</v>
      </c>
      <c r="D445" s="11" t="inlineStr">
        <is>
          <t>שירות ותמיכה</t>
        </is>
      </c>
      <c r="E445" s="11" t="inlineStr">
        <is>
          <t>הוצאות תפעול</t>
        </is>
      </c>
      <c r="F445" s="11" t="inlineStr">
        <is>
          <t>שכר ונלוות</t>
        </is>
      </c>
      <c r="G445" s="12" t="n">
        <v>32556</v>
      </c>
    </row>
    <row r="446">
      <c r="A446" s="10" t="n">
        <v>46376</v>
      </c>
      <c r="B446" s="11" t="inlineStr">
        <is>
          <t>J41442</t>
        </is>
      </c>
      <c r="C446" s="11" t="n">
        <v>12</v>
      </c>
      <c r="D446" s="11" t="inlineStr">
        <is>
          <t>מכירות ישירות</t>
        </is>
      </c>
      <c r="E446" s="11" t="inlineStr">
        <is>
          <t>הוצאות תפעול</t>
        </is>
      </c>
      <c r="F446" s="11" t="inlineStr">
        <is>
          <t>שכר דירה ואחזקה</t>
        </is>
      </c>
      <c r="G446" s="12" t="n">
        <v>13024</v>
      </c>
    </row>
    <row r="447">
      <c r="A447" s="10" t="n">
        <v>46372</v>
      </c>
      <c r="B447" s="11" t="inlineStr">
        <is>
          <t>J41443</t>
        </is>
      </c>
      <c r="C447" s="11" t="n">
        <v>12</v>
      </c>
      <c r="D447" s="11" t="inlineStr">
        <is>
          <t>ערוץ מפיצים</t>
        </is>
      </c>
      <c r="E447" s="11" t="inlineStr">
        <is>
          <t>הוצאות תפעול</t>
        </is>
      </c>
      <c r="F447" s="11" t="inlineStr">
        <is>
          <t>שכר דירה ואחזקה</t>
        </is>
      </c>
      <c r="G447" s="12" t="n">
        <v>13531</v>
      </c>
    </row>
    <row r="448">
      <c r="A448" s="10" t="n">
        <v>46371</v>
      </c>
      <c r="B448" s="11" t="inlineStr">
        <is>
          <t>J41444</t>
        </is>
      </c>
      <c r="C448" s="11" t="n">
        <v>12</v>
      </c>
      <c r="D448" s="11" t="inlineStr">
        <is>
          <t>שירות ותמיכה</t>
        </is>
      </c>
      <c r="E448" s="11" t="inlineStr">
        <is>
          <t>הוצאות תפעול</t>
        </is>
      </c>
      <c r="F448" s="11" t="inlineStr">
        <is>
          <t>שכר דירה ואחזקה</t>
        </is>
      </c>
      <c r="G448" s="12" t="n">
        <v>13454</v>
      </c>
    </row>
    <row r="449">
      <c r="A449" s="10" t="n">
        <v>46366</v>
      </c>
      <c r="B449" s="11" t="inlineStr">
        <is>
          <t>J41445</t>
        </is>
      </c>
      <c r="C449" s="11" t="n">
        <v>12</v>
      </c>
      <c r="D449" s="11" t="inlineStr">
        <is>
          <t>מכירות ישירות</t>
        </is>
      </c>
      <c r="E449" s="11" t="inlineStr">
        <is>
          <t>הוצאות תפעול</t>
        </is>
      </c>
      <c r="F449" s="11" t="inlineStr">
        <is>
          <t>הוצאות רכב</t>
        </is>
      </c>
      <c r="G449" s="12" t="n">
        <v>14484</v>
      </c>
    </row>
    <row r="450">
      <c r="A450" s="10" t="n">
        <v>46372</v>
      </c>
      <c r="B450" s="11" t="inlineStr">
        <is>
          <t>J41446</t>
        </is>
      </c>
      <c r="C450" s="11" t="n">
        <v>12</v>
      </c>
      <c r="D450" s="11" t="inlineStr">
        <is>
          <t>ערוץ מפיצים</t>
        </is>
      </c>
      <c r="E450" s="11" t="inlineStr">
        <is>
          <t>הוצאות תפעול</t>
        </is>
      </c>
      <c r="F450" s="11" t="inlineStr">
        <is>
          <t>הוצאות רכב</t>
        </is>
      </c>
      <c r="G450" s="12" t="n">
        <v>8098</v>
      </c>
    </row>
    <row r="451">
      <c r="A451" s="10" t="n">
        <v>46383</v>
      </c>
      <c r="B451" s="11" t="inlineStr">
        <is>
          <t>J41447</t>
        </is>
      </c>
      <c r="C451" s="11" t="n">
        <v>12</v>
      </c>
      <c r="D451" s="11" t="inlineStr">
        <is>
          <t>שירות ותמיכה</t>
        </is>
      </c>
      <c r="E451" s="11" t="inlineStr">
        <is>
          <t>הוצאות תפעול</t>
        </is>
      </c>
      <c r="F451" s="11" t="inlineStr">
        <is>
          <t>הוצאות רכב</t>
        </is>
      </c>
      <c r="G451" s="12" t="n">
        <v>3902</v>
      </c>
    </row>
    <row r="452">
      <c r="A452" s="10" t="n">
        <v>46374</v>
      </c>
      <c r="B452" s="11" t="inlineStr">
        <is>
          <t>J41448</t>
        </is>
      </c>
      <c r="C452" s="11" t="n">
        <v>12</v>
      </c>
      <c r="D452" s="11" t="inlineStr">
        <is>
          <t>מכירות ישירות</t>
        </is>
      </c>
      <c r="E452" s="11" t="inlineStr">
        <is>
          <t>הוצאות תפעול</t>
        </is>
      </c>
      <c r="F452" s="11" t="inlineStr">
        <is>
          <t>פרסום ושיווק</t>
        </is>
      </c>
      <c r="G452" s="12" t="n">
        <v>25460</v>
      </c>
    </row>
    <row r="453">
      <c r="A453" s="10" t="n">
        <v>46365</v>
      </c>
      <c r="B453" s="11" t="inlineStr">
        <is>
          <t>J41449</t>
        </is>
      </c>
      <c r="C453" s="11" t="n">
        <v>12</v>
      </c>
      <c r="D453" s="11" t="inlineStr">
        <is>
          <t>ערוץ מפיצים</t>
        </is>
      </c>
      <c r="E453" s="11" t="inlineStr">
        <is>
          <t>הוצאות תפעול</t>
        </is>
      </c>
      <c r="F453" s="11" t="inlineStr">
        <is>
          <t>פרסום ושיווק</t>
        </is>
      </c>
      <c r="G453" s="12" t="n">
        <v>13189</v>
      </c>
    </row>
    <row r="454">
      <c r="A454" s="10" t="n">
        <v>46383</v>
      </c>
      <c r="B454" s="11" t="inlineStr">
        <is>
          <t>J41450</t>
        </is>
      </c>
      <c r="C454" s="11" t="n">
        <v>12</v>
      </c>
      <c r="D454" s="11" t="inlineStr">
        <is>
          <t>שירות ותמיכה</t>
        </is>
      </c>
      <c r="E454" s="11" t="inlineStr">
        <is>
          <t>הוצאות תפעול</t>
        </is>
      </c>
      <c r="F454" s="11" t="inlineStr">
        <is>
          <t>פרסום ושיווק</t>
        </is>
      </c>
      <c r="G454" s="12" t="n">
        <v>7187</v>
      </c>
    </row>
    <row r="455">
      <c r="A455" s="10" t="n">
        <v>46367</v>
      </c>
      <c r="B455" s="11" t="inlineStr">
        <is>
          <t>J41451</t>
        </is>
      </c>
      <c r="C455" s="11" t="n">
        <v>12</v>
      </c>
      <c r="D455" s="11" t="inlineStr">
        <is>
          <t>מכירות ישירות</t>
        </is>
      </c>
      <c r="E455" s="11" t="inlineStr">
        <is>
          <t>הוצאות תפעול</t>
        </is>
      </c>
      <c r="F455" s="11" t="inlineStr">
        <is>
          <t>כיבודים ואירוח</t>
        </is>
      </c>
      <c r="G455" s="12" t="n">
        <v>3490</v>
      </c>
    </row>
    <row r="456">
      <c r="A456" s="10" t="n">
        <v>46379</v>
      </c>
      <c r="B456" s="11" t="inlineStr">
        <is>
          <t>J41452</t>
        </is>
      </c>
      <c r="C456" s="11" t="n">
        <v>12</v>
      </c>
      <c r="D456" s="11" t="inlineStr">
        <is>
          <t>ערוץ מפיצים</t>
        </is>
      </c>
      <c r="E456" s="11" t="inlineStr">
        <is>
          <t>הוצאות תפעול</t>
        </is>
      </c>
      <c r="F456" s="11" t="inlineStr">
        <is>
          <t>כיבודים ואירוח</t>
        </is>
      </c>
      <c r="G456" s="12" t="n">
        <v>1710</v>
      </c>
    </row>
    <row r="457">
      <c r="A457" s="10" t="n">
        <v>46379</v>
      </c>
      <c r="B457" s="11" t="inlineStr">
        <is>
          <t>J41453</t>
        </is>
      </c>
      <c r="C457" s="11" t="n">
        <v>12</v>
      </c>
      <c r="D457" s="11" t="inlineStr">
        <is>
          <t>שירות ותמיכה</t>
        </is>
      </c>
      <c r="E457" s="11" t="inlineStr">
        <is>
          <t>הוצאות תפעול</t>
        </is>
      </c>
      <c r="F457" s="11" t="inlineStr">
        <is>
          <t>כיבודים ואירוח</t>
        </is>
      </c>
      <c r="G457" s="12" t="n">
        <v>919</v>
      </c>
    </row>
    <row r="458">
      <c r="A458" s="10" t="n">
        <v>46366</v>
      </c>
      <c r="B458" s="11" t="inlineStr">
        <is>
          <t>J41454</t>
        </is>
      </c>
      <c r="C458" s="11" t="n">
        <v>12</v>
      </c>
      <c r="D458" s="11" t="inlineStr">
        <is>
          <t>מכירות ישירות</t>
        </is>
      </c>
      <c r="E458" s="11" t="inlineStr">
        <is>
          <t>הוצאות תפעול</t>
        </is>
      </c>
      <c r="F458" s="11" t="inlineStr">
        <is>
          <t>הוצאות משרד</t>
        </is>
      </c>
      <c r="G458" s="12" t="n">
        <v>6884</v>
      </c>
    </row>
    <row r="459">
      <c r="A459" s="10" t="n">
        <v>46379</v>
      </c>
      <c r="B459" s="11" t="inlineStr">
        <is>
          <t>J41455</t>
        </is>
      </c>
      <c r="C459" s="11" t="n">
        <v>12</v>
      </c>
      <c r="D459" s="11" t="inlineStr">
        <is>
          <t>ערוץ מפיצים</t>
        </is>
      </c>
      <c r="E459" s="11" t="inlineStr">
        <is>
          <t>הוצאות תפעול</t>
        </is>
      </c>
      <c r="F459" s="11" t="inlineStr">
        <is>
          <t>הוצאות משרד</t>
        </is>
      </c>
      <c r="G459" s="12" t="n">
        <v>4140</v>
      </c>
    </row>
    <row r="460">
      <c r="A460" s="10" t="n">
        <v>46369</v>
      </c>
      <c r="B460" s="11" t="inlineStr">
        <is>
          <t>J41456</t>
        </is>
      </c>
      <c r="C460" s="11" t="n">
        <v>12</v>
      </c>
      <c r="D460" s="11" t="inlineStr">
        <is>
          <t>שירות ותמיכה</t>
        </is>
      </c>
      <c r="E460" s="11" t="inlineStr">
        <is>
          <t>הוצאות תפעול</t>
        </is>
      </c>
      <c r="F460" s="11" t="inlineStr">
        <is>
          <t>הוצאות משרד</t>
        </is>
      </c>
      <c r="G460" s="12" t="n">
        <v>1914</v>
      </c>
    </row>
    <row r="461">
      <c r="A461" s="10" t="n">
        <v>46367</v>
      </c>
      <c r="B461" s="11" t="inlineStr">
        <is>
          <t>J41457</t>
        </is>
      </c>
      <c r="C461" s="11" t="n">
        <v>12</v>
      </c>
      <c r="D461" s="11" t="inlineStr">
        <is>
          <t>מכירות ישירות</t>
        </is>
      </c>
      <c r="E461" s="11" t="inlineStr">
        <is>
          <t>הוצאות תפעול</t>
        </is>
      </c>
      <c r="F461" s="11" t="inlineStr">
        <is>
          <t>עמלות סליקה</t>
        </is>
      </c>
      <c r="G461" s="12" t="n">
        <v>8098</v>
      </c>
    </row>
    <row r="462">
      <c r="A462" s="10" t="n">
        <v>46381</v>
      </c>
      <c r="B462" s="11" t="inlineStr">
        <is>
          <t>J41458</t>
        </is>
      </c>
      <c r="C462" s="11" t="n">
        <v>12</v>
      </c>
      <c r="D462" s="11" t="inlineStr">
        <is>
          <t>ערוץ מפיצים</t>
        </is>
      </c>
      <c r="E462" s="11" t="inlineStr">
        <is>
          <t>הוצאות תפעול</t>
        </is>
      </c>
      <c r="F462" s="11" t="inlineStr">
        <is>
          <t>עמלות סליקה</t>
        </is>
      </c>
      <c r="G462" s="12" t="n">
        <v>5052</v>
      </c>
    </row>
    <row r="463">
      <c r="A463" s="10" t="n">
        <v>46358</v>
      </c>
      <c r="B463" s="11" t="inlineStr">
        <is>
          <t>J41459</t>
        </is>
      </c>
      <c r="C463" s="11" t="n">
        <v>12</v>
      </c>
      <c r="D463" s="11" t="inlineStr">
        <is>
          <t>שירות ותמיכה</t>
        </is>
      </c>
      <c r="E463" s="11" t="inlineStr">
        <is>
          <t>הוצאות תפעול</t>
        </is>
      </c>
      <c r="F463" s="11" t="inlineStr">
        <is>
          <t>עמלות סליקה</t>
        </is>
      </c>
      <c r="G463" s="12" t="n">
        <v>2269</v>
      </c>
    </row>
    <row r="464">
      <c r="A464" s="10" t="n">
        <v>46364</v>
      </c>
      <c r="B464" s="11" t="inlineStr">
        <is>
          <t>J41460</t>
        </is>
      </c>
      <c r="C464" s="11" t="n">
        <v>12</v>
      </c>
      <c r="D464" s="11" t="inlineStr">
        <is>
          <t>מכירות ישירות</t>
        </is>
      </c>
      <c r="E464" s="11" t="inlineStr">
        <is>
          <t>הוצאות תפעול</t>
        </is>
      </c>
      <c r="F464" s="11" t="inlineStr">
        <is>
          <t>ייעוץ מקצועי</t>
        </is>
      </c>
      <c r="G464" s="12" t="n">
        <v>9999</v>
      </c>
    </row>
    <row r="465">
      <c r="A465" s="10" t="n">
        <v>46373</v>
      </c>
      <c r="B465" s="11" t="inlineStr">
        <is>
          <t>J41461</t>
        </is>
      </c>
      <c r="C465" s="11" t="n">
        <v>12</v>
      </c>
      <c r="D465" s="11" t="inlineStr">
        <is>
          <t>ערוץ מפיצים</t>
        </is>
      </c>
      <c r="E465" s="11" t="inlineStr">
        <is>
          <t>הוצאות תפעול</t>
        </is>
      </c>
      <c r="F465" s="11" t="inlineStr">
        <is>
          <t>ייעוץ מקצועי</t>
        </is>
      </c>
      <c r="G465" s="12" t="n">
        <v>5413</v>
      </c>
    </row>
    <row r="466">
      <c r="A466" s="10" t="n">
        <v>46368</v>
      </c>
      <c r="B466" s="11" t="inlineStr">
        <is>
          <t>J41462</t>
        </is>
      </c>
      <c r="C466" s="11" t="n">
        <v>12</v>
      </c>
      <c r="D466" s="11" t="inlineStr">
        <is>
          <t>שירות ותמיכה</t>
        </is>
      </c>
      <c r="E466" s="11" t="inlineStr">
        <is>
          <t>הוצאות תפעול</t>
        </is>
      </c>
      <c r="F466" s="11" t="inlineStr">
        <is>
          <t>ייעוץ מקצועי</t>
        </is>
      </c>
      <c r="G466" s="12" t="n">
        <v>2444</v>
      </c>
    </row>
    <row r="467">
      <c r="A467" s="10" t="n">
        <v>46380</v>
      </c>
      <c r="B467" s="11" t="inlineStr">
        <is>
          <t>J41463</t>
        </is>
      </c>
      <c r="C467" s="11" t="n">
        <v>12</v>
      </c>
      <c r="D467" s="11" t="inlineStr">
        <is>
          <t>מכירות ישירות</t>
        </is>
      </c>
      <c r="E467" s="11" t="inlineStr">
        <is>
          <t>הוצאות תפעול</t>
        </is>
      </c>
      <c r="F467" s="11" t="inlineStr">
        <is>
          <t>פחת</t>
        </is>
      </c>
      <c r="G467" s="12" t="n">
        <v>6495</v>
      </c>
    </row>
    <row r="468">
      <c r="A468" s="10" t="n">
        <v>46366</v>
      </c>
      <c r="B468" s="11" t="inlineStr">
        <is>
          <t>J41464</t>
        </is>
      </c>
      <c r="C468" s="11" t="n">
        <v>12</v>
      </c>
      <c r="D468" s="11" t="inlineStr">
        <is>
          <t>ערוץ מפיצים</t>
        </is>
      </c>
      <c r="E468" s="11" t="inlineStr">
        <is>
          <t>הוצאות תפעול</t>
        </is>
      </c>
      <c r="F468" s="11" t="inlineStr">
        <is>
          <t>פחת</t>
        </is>
      </c>
      <c r="G468" s="12" t="n">
        <v>5625</v>
      </c>
    </row>
    <row r="469">
      <c r="A469" s="10" t="n">
        <v>46363</v>
      </c>
      <c r="B469" s="11" t="inlineStr">
        <is>
          <t>J41465</t>
        </is>
      </c>
      <c r="C469" s="11" t="n">
        <v>12</v>
      </c>
      <c r="D469" s="11" t="inlineStr">
        <is>
          <t>שירות ותמיכה</t>
        </is>
      </c>
      <c r="E469" s="11" t="inlineStr">
        <is>
          <t>הוצאות תפעול</t>
        </is>
      </c>
      <c r="F469" s="11" t="inlineStr">
        <is>
          <t>פחת</t>
        </is>
      </c>
      <c r="G469" s="12" t="n">
        <v>5699</v>
      </c>
    </row>
    <row r="470">
      <c r="A470" s="10" t="n">
        <v>46372</v>
      </c>
      <c r="B470" s="11" t="inlineStr">
        <is>
          <t>J41466</t>
        </is>
      </c>
      <c r="C470" s="11" t="n">
        <v>12</v>
      </c>
      <c r="D470" s="11" t="inlineStr">
        <is>
          <t>מכירות ישירות</t>
        </is>
      </c>
      <c r="E470" s="11" t="inlineStr">
        <is>
          <t>הוצאות תפעול</t>
        </is>
      </c>
      <c r="F470" s="11" t="inlineStr">
        <is>
          <t>הוצאות מימון</t>
        </is>
      </c>
      <c r="G470" s="12" t="n">
        <v>3273</v>
      </c>
    </row>
    <row r="471">
      <c r="A471" s="10" t="n">
        <v>46377</v>
      </c>
      <c r="B471" s="11" t="inlineStr">
        <is>
          <t>J41467</t>
        </is>
      </c>
      <c r="C471" s="11" t="n">
        <v>12</v>
      </c>
      <c r="D471" s="11" t="inlineStr">
        <is>
          <t>ערוץ מפיצים</t>
        </is>
      </c>
      <c r="E471" s="11" t="inlineStr">
        <is>
          <t>הוצאות תפעול</t>
        </is>
      </c>
      <c r="F471" s="11" t="inlineStr">
        <is>
          <t>הוצאות מימון</t>
        </is>
      </c>
      <c r="G471" s="12" t="n">
        <v>3463</v>
      </c>
    </row>
    <row r="472">
      <c r="A472" s="10" t="n">
        <v>46374</v>
      </c>
      <c r="B472" s="11" t="inlineStr">
        <is>
          <t>J41468</t>
        </is>
      </c>
      <c r="C472" s="11" t="n">
        <v>12</v>
      </c>
      <c r="D472" s="11" t="inlineStr">
        <is>
          <t>שירות ותמיכה</t>
        </is>
      </c>
      <c r="E472" s="11" t="inlineStr">
        <is>
          <t>הוצאות תפעול</t>
        </is>
      </c>
      <c r="F472" s="11" t="inlineStr">
        <is>
          <t>הוצאות מימון</t>
        </is>
      </c>
      <c r="G472" s="12" t="n">
        <v>3315</v>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39"/>
  <sheetViews>
    <sheetView rightToLeft="1" workbookViewId="0">
      <selection activeCell="A1" sqref="A1"/>
    </sheetView>
  </sheetViews>
  <sheetFormatPr baseColWidth="8" defaultRowHeight="15"/>
  <cols>
    <col width="18" customWidth="1" min="1" max="1"/>
    <col width="22" customWidth="1" min="2" max="2"/>
    <col width="16" customWidth="1" min="3" max="3"/>
    <col width="44" customWidth="1" min="4" max="4"/>
  </cols>
  <sheetData>
    <row r="1" ht="34" customHeight="1">
      <c r="A1" s="1" t="inlineStr">
        <is>
          <t>מפתח מיפוי · מילת מפתח ← סעיף תקציבי</t>
        </is>
      </c>
    </row>
    <row r="2" ht="20" customHeight="1">
      <c r="A2" s="2" t="inlineStr">
        <is>
          <t>זו הטבלה שהופכת טקסט חופשי מהבנק לסיווג חשבונאי. הסדר קובע: הנוסחה עוצרת במילה הראשונה שנמצאה, ולכן מילה ספציפית חייבת להופיע מעל מילה כללית.</t>
        </is>
      </c>
    </row>
    <row r="4" ht="30" customHeight="1">
      <c r="A4" s="8" t="inlineStr">
        <is>
          <t>מילת_מפתח</t>
        </is>
      </c>
      <c r="B4" s="8" t="inlineStr">
        <is>
          <t>סעיף</t>
        </is>
      </c>
      <c r="C4" s="8" t="inlineStr">
        <is>
          <t>קבוצה</t>
        </is>
      </c>
      <c r="D4" s="8" t="inlineStr">
        <is>
          <t>הערה</t>
        </is>
      </c>
    </row>
    <row r="5">
      <c r="A5" s="11" t="inlineStr">
        <is>
          <t>שכר טרחה</t>
        </is>
      </c>
      <c r="B5" s="11" t="inlineStr">
        <is>
          <t>ייעוץ מקצועי</t>
        </is>
      </c>
      <c r="C5" s="11" t="inlineStr">
        <is>
          <t>הוצאות תפעול</t>
        </is>
      </c>
      <c r="D5" s="13" t="inlineStr">
        <is>
          <t>חייב להופיע לפני ״שכר״ בטבלה. אחרת ״שכר טרחה לרו״ח״ יסווג כמשכורת</t>
        </is>
      </c>
    </row>
    <row r="6">
      <c r="A6" s="11" t="inlineStr">
        <is>
          <t>רו"ח</t>
        </is>
      </c>
      <c r="B6" s="11" t="inlineStr">
        <is>
          <t>ייעוץ מקצועי</t>
        </is>
      </c>
      <c r="C6" s="11" t="inlineStr">
        <is>
          <t>הוצאות תפעול</t>
        </is>
      </c>
      <c r="D6" s="13" t="inlineStr">
        <is>
          <t>מילה ספציפית לפני מילה כללית — זה הכלל החשוב ביותר בטבלת מיפוי</t>
        </is>
      </c>
    </row>
    <row r="7">
      <c r="A7" s="11" t="inlineStr">
        <is>
          <t>עו"ד</t>
        </is>
      </c>
      <c r="B7" s="11" t="inlineStr">
        <is>
          <t>ייעוץ מקצועי</t>
        </is>
      </c>
      <c r="C7" s="11" t="inlineStr">
        <is>
          <t>הוצאות תפעול</t>
        </is>
      </c>
      <c r="D7" s="13" t="inlineStr"/>
    </row>
    <row r="8">
      <c r="A8" s="11" t="inlineStr">
        <is>
          <t>שכר</t>
        </is>
      </c>
      <c r="B8" s="11" t="inlineStr">
        <is>
          <t>שכר ונלוות</t>
        </is>
      </c>
      <c r="C8" s="11" t="inlineStr">
        <is>
          <t>הוצאות תפעול</t>
        </is>
      </c>
      <c r="D8" s="13" t="inlineStr"/>
    </row>
    <row r="9">
      <c r="A9" s="11" t="inlineStr">
        <is>
          <t>משכורת</t>
        </is>
      </c>
      <c r="B9" s="11" t="inlineStr">
        <is>
          <t>שכר ונלוות</t>
        </is>
      </c>
      <c r="C9" s="11" t="inlineStr">
        <is>
          <t>הוצאות תפעול</t>
        </is>
      </c>
      <c r="D9" s="13" t="inlineStr"/>
    </row>
    <row r="10">
      <c r="A10" s="11" t="inlineStr">
        <is>
          <t>ביטוח לאומי</t>
        </is>
      </c>
      <c r="B10" s="11" t="inlineStr">
        <is>
          <t>שכר ונלוות</t>
        </is>
      </c>
      <c r="C10" s="11" t="inlineStr">
        <is>
          <t>הוצאות תפעול</t>
        </is>
      </c>
      <c r="D10" s="13" t="inlineStr"/>
    </row>
    <row r="11">
      <c r="A11" s="11" t="inlineStr">
        <is>
          <t>פנסיה</t>
        </is>
      </c>
      <c r="B11" s="11" t="inlineStr">
        <is>
          <t>שכר ונלוות</t>
        </is>
      </c>
      <c r="C11" s="11" t="inlineStr">
        <is>
          <t>הוצאות תפעול</t>
        </is>
      </c>
      <c r="D11" s="13" t="inlineStr"/>
    </row>
    <row r="12">
      <c r="A12" s="11" t="inlineStr">
        <is>
          <t>שכירות</t>
        </is>
      </c>
      <c r="B12" s="11" t="inlineStr">
        <is>
          <t>שכר דירה ואחזקה</t>
        </is>
      </c>
      <c r="C12" s="11" t="inlineStr">
        <is>
          <t>הוצאות תפעול</t>
        </is>
      </c>
      <c r="D12" s="13" t="inlineStr"/>
    </row>
    <row r="13">
      <c r="A13" s="11" t="inlineStr">
        <is>
          <t>ארנונה</t>
        </is>
      </c>
      <c r="B13" s="11" t="inlineStr">
        <is>
          <t>שכר דירה ואחזקה</t>
        </is>
      </c>
      <c r="C13" s="11" t="inlineStr">
        <is>
          <t>הוצאות תפעול</t>
        </is>
      </c>
      <c r="D13" s="13" t="inlineStr"/>
    </row>
    <row r="14">
      <c r="A14" s="11" t="inlineStr">
        <is>
          <t>חשמל</t>
        </is>
      </c>
      <c r="B14" s="11" t="inlineStr">
        <is>
          <t>שכר דירה ואחזקה</t>
        </is>
      </c>
      <c r="C14" s="11" t="inlineStr">
        <is>
          <t>הוצאות תפעול</t>
        </is>
      </c>
      <c r="D14" s="13" t="inlineStr"/>
    </row>
    <row r="15">
      <c r="A15" s="11" t="inlineStr">
        <is>
          <t>דלק</t>
        </is>
      </c>
      <c r="B15" s="11" t="inlineStr">
        <is>
          <t>הוצאות רכב</t>
        </is>
      </c>
      <c r="C15" s="11" t="inlineStr">
        <is>
          <t>הוצאות תפעול</t>
        </is>
      </c>
      <c r="D15" s="13" t="inlineStr"/>
    </row>
    <row r="16">
      <c r="A16" s="11" t="inlineStr">
        <is>
          <t>ליסינג</t>
        </is>
      </c>
      <c r="B16" s="11" t="inlineStr">
        <is>
          <t>הוצאות רכב</t>
        </is>
      </c>
      <c r="C16" s="11" t="inlineStr">
        <is>
          <t>הוצאות תפעול</t>
        </is>
      </c>
      <c r="D16" s="13" t="inlineStr"/>
    </row>
    <row r="17">
      <c r="A17" s="11" t="inlineStr">
        <is>
          <t>מוסך</t>
        </is>
      </c>
      <c r="B17" s="11" t="inlineStr">
        <is>
          <t>הוצאות רכב</t>
        </is>
      </c>
      <c r="C17" s="11" t="inlineStr">
        <is>
          <t>הוצאות תפעול</t>
        </is>
      </c>
      <c r="D17" s="13" t="inlineStr"/>
    </row>
    <row r="18">
      <c r="A18" s="11" t="inlineStr">
        <is>
          <t>כביש 6</t>
        </is>
      </c>
      <c r="B18" s="11" t="inlineStr">
        <is>
          <t>הוצאות רכב</t>
        </is>
      </c>
      <c r="C18" s="11" t="inlineStr">
        <is>
          <t>הוצאות תפעול</t>
        </is>
      </c>
      <c r="D18" s="13" t="inlineStr">
        <is>
          <t>הוצאה מוכרת רק אם נסיעה עסקית, נכנס לסל הרכב לצורך כלל 45%</t>
        </is>
      </c>
    </row>
    <row r="19">
      <c r="A19" s="11" t="inlineStr">
        <is>
          <t>גוגל</t>
        </is>
      </c>
      <c r="B19" s="11" t="inlineStr">
        <is>
          <t>פרסום ושיווק</t>
        </is>
      </c>
      <c r="C19" s="11" t="inlineStr">
        <is>
          <t>הוצאות תפעול</t>
        </is>
      </c>
      <c r="D19" s="13" t="inlineStr"/>
    </row>
    <row r="20">
      <c r="A20" s="11" t="inlineStr">
        <is>
          <t>פייסבוק</t>
        </is>
      </c>
      <c r="B20" s="11" t="inlineStr">
        <is>
          <t>פרסום ושיווק</t>
        </is>
      </c>
      <c r="C20" s="11" t="inlineStr">
        <is>
          <t>הוצאות תפעול</t>
        </is>
      </c>
      <c r="D20" s="13" t="inlineStr"/>
    </row>
    <row r="21">
      <c r="A21" s="11" t="inlineStr">
        <is>
          <t>קמפיין</t>
        </is>
      </c>
      <c r="B21" s="11" t="inlineStr">
        <is>
          <t>פרסום ושיווק</t>
        </is>
      </c>
      <c r="C21" s="11" t="inlineStr">
        <is>
          <t>הוצאות תפעול</t>
        </is>
      </c>
      <c r="D21" s="13" t="inlineStr"/>
    </row>
    <row r="22">
      <c r="A22" s="11" t="inlineStr">
        <is>
          <t>קפה</t>
        </is>
      </c>
      <c r="B22" s="11" t="inlineStr">
        <is>
          <t>כיבודים ואירוח</t>
        </is>
      </c>
      <c r="C22" s="11" t="inlineStr">
        <is>
          <t>הוצאות תפעול</t>
        </is>
      </c>
      <c r="D22" s="13" t="inlineStr">
        <is>
          <t>כיבוד במקום העסק — 80% בלבד מוכרים</t>
        </is>
      </c>
    </row>
    <row r="23">
      <c r="A23" s="11" t="inlineStr">
        <is>
          <t>מסעדה</t>
        </is>
      </c>
      <c r="B23" s="11" t="inlineStr">
        <is>
          <t>כיבודים ואירוח</t>
        </is>
      </c>
      <c r="C23" s="11" t="inlineStr">
        <is>
          <t>הוצאות תפעול</t>
        </is>
      </c>
      <c r="D23" s="13" t="inlineStr">
        <is>
          <t>אש"ל/אירוח — בדקו סיווג לפני שמכירים</t>
        </is>
      </c>
    </row>
    <row r="24">
      <c r="A24" s="11" t="inlineStr">
        <is>
          <t>ציוד משרדי</t>
        </is>
      </c>
      <c r="B24" s="11" t="inlineStr">
        <is>
          <t>הוצאות משרד</t>
        </is>
      </c>
      <c r="C24" s="11" t="inlineStr">
        <is>
          <t>הוצאות תפעול</t>
        </is>
      </c>
      <c r="D24" s="13" t="inlineStr"/>
    </row>
    <row r="25">
      <c r="A25" s="11" t="inlineStr">
        <is>
          <t>דואר</t>
        </is>
      </c>
      <c r="B25" s="11" t="inlineStr">
        <is>
          <t>הוצאות משרד</t>
        </is>
      </c>
      <c r="C25" s="11" t="inlineStr">
        <is>
          <t>הוצאות תפעול</t>
        </is>
      </c>
      <c r="D25" s="13" t="inlineStr"/>
    </row>
    <row r="26">
      <c r="A26" s="11" t="inlineStr">
        <is>
          <t>סליקה</t>
        </is>
      </c>
      <c r="B26" s="11" t="inlineStr">
        <is>
          <t>עמלות סליקה</t>
        </is>
      </c>
      <c r="C26" s="11" t="inlineStr">
        <is>
          <t>הוצאות תפעול</t>
        </is>
      </c>
      <c r="D26" s="13" t="inlineStr"/>
    </row>
    <row r="27">
      <c r="A27" s="11" t="inlineStr">
        <is>
          <t>כרטיסי אשראי</t>
        </is>
      </c>
      <c r="B27" s="11" t="inlineStr">
        <is>
          <t>עמלות סליקה</t>
        </is>
      </c>
      <c r="C27" s="11" t="inlineStr">
        <is>
          <t>הוצאות תפעול</t>
        </is>
      </c>
      <c r="D27" s="13" t="inlineStr"/>
    </row>
    <row r="28">
      <c r="A28" s="11" t="inlineStr">
        <is>
          <t>ריבית</t>
        </is>
      </c>
      <c r="B28" s="11" t="inlineStr">
        <is>
          <t>הוצאות מימון</t>
        </is>
      </c>
      <c r="C28" s="11" t="inlineStr">
        <is>
          <t>הוצאות תפעול</t>
        </is>
      </c>
      <c r="D28" s="13" t="inlineStr"/>
    </row>
    <row r="29">
      <c r="A29" s="11" t="inlineStr">
        <is>
          <t>עמלת בנק</t>
        </is>
      </c>
      <c r="B29" s="11" t="inlineStr">
        <is>
          <t>הוצאות מימון</t>
        </is>
      </c>
      <c r="C29" s="11" t="inlineStr">
        <is>
          <t>הוצאות תפעול</t>
        </is>
      </c>
      <c r="D29" s="13" t="inlineStr"/>
    </row>
    <row r="30">
      <c r="A30" s="11" t="inlineStr">
        <is>
          <t>ספק</t>
        </is>
      </c>
      <c r="B30" s="11" t="inlineStr">
        <is>
          <t>עלות המכר</t>
        </is>
      </c>
      <c r="C30" s="11" t="inlineStr">
        <is>
          <t>עלות המכר</t>
        </is>
      </c>
      <c r="D30" s="13" t="inlineStr"/>
    </row>
    <row r="31">
      <c r="A31" s="11" t="inlineStr">
        <is>
          <t>יבוא</t>
        </is>
      </c>
      <c r="B31" s="11" t="inlineStr">
        <is>
          <t>עלות המכר</t>
        </is>
      </c>
      <c r="C31" s="11" t="inlineStr">
        <is>
          <t>עלות המכר</t>
        </is>
      </c>
      <c r="D31" s="13" t="inlineStr"/>
    </row>
    <row r="32">
      <c r="A32" s="11" t="inlineStr">
        <is>
          <t>מכס</t>
        </is>
      </c>
      <c r="B32" s="11" t="inlineStr">
        <is>
          <t>עלות המכר</t>
        </is>
      </c>
      <c r="C32" s="11" t="inlineStr">
        <is>
          <t>עלות המכר</t>
        </is>
      </c>
      <c r="D32" s="13" t="inlineStr"/>
    </row>
    <row r="33">
      <c r="A33" s="11" t="inlineStr">
        <is>
          <t>שחרור</t>
        </is>
      </c>
      <c r="B33" s="11" t="inlineStr">
        <is>
          <t>עלות המכר</t>
        </is>
      </c>
      <c r="C33" s="11" t="inlineStr">
        <is>
          <t>עלות המכר</t>
        </is>
      </c>
      <c r="D33" s="13" t="inlineStr"/>
    </row>
    <row r="34">
      <c r="A34" s="11" t="inlineStr">
        <is>
          <t>לקוח</t>
        </is>
      </c>
      <c r="B34" s="11" t="inlineStr">
        <is>
          <t>הכנסות ממכירות</t>
        </is>
      </c>
      <c r="C34" s="11" t="inlineStr">
        <is>
          <t>הכנסות</t>
        </is>
      </c>
      <c r="D34" s="13" t="inlineStr"/>
    </row>
    <row r="35">
      <c r="A35" s="11" t="inlineStr">
        <is>
          <t>העברה מלקוח</t>
        </is>
      </c>
      <c r="B35" s="11" t="inlineStr">
        <is>
          <t>הכנסות ממכירות</t>
        </is>
      </c>
      <c r="C35" s="11" t="inlineStr">
        <is>
          <t>הכנסות</t>
        </is>
      </c>
      <c r="D35" s="13" t="inlineStr"/>
    </row>
    <row r="36">
      <c r="A36" s="11" t="inlineStr">
        <is>
          <t>מע"מ</t>
        </is>
      </c>
      <c r="B36" s="11" t="inlineStr">
        <is>
          <t>תשלומי מס</t>
        </is>
      </c>
      <c r="C36" s="11" t="inlineStr">
        <is>
          <t>מס</t>
        </is>
      </c>
      <c r="D36" s="13" t="inlineStr">
        <is>
          <t>תנועת מס, לא הוצאה תפעולית. נכנסת לתזרים ולא לדוח רווח והפסד</t>
        </is>
      </c>
    </row>
    <row r="37">
      <c r="A37" s="11" t="inlineStr">
        <is>
          <t>מקדמות</t>
        </is>
      </c>
      <c r="B37" s="11" t="inlineStr">
        <is>
          <t>תשלומי מס</t>
        </is>
      </c>
      <c r="C37" s="11" t="inlineStr">
        <is>
          <t>מס</t>
        </is>
      </c>
      <c r="D37" s="13" t="inlineStr"/>
    </row>
    <row r="38">
      <c r="A38" s="11" t="inlineStr">
        <is>
          <t>ניכויים</t>
        </is>
      </c>
      <c r="B38" s="11" t="inlineStr">
        <is>
          <t>תשלומי מס</t>
        </is>
      </c>
      <c r="C38" s="11" t="inlineStr">
        <is>
          <t>מס</t>
        </is>
      </c>
      <c r="D38" s="13" t="inlineStr"/>
    </row>
    <row r="39">
      <c r="A39" s="11" t="inlineStr">
        <is>
          <t>משיכת בעלים</t>
        </is>
      </c>
      <c r="B39" s="11" t="inlineStr">
        <is>
          <t>יתרת בעלים</t>
        </is>
      </c>
      <c r="C39" s="11" t="inlineStr">
        <is>
          <t>בעלים</t>
        </is>
      </c>
      <c r="D39" s="13" t="inlineStr">
        <is>
          <t>לא הוצאה. דגל אדום לסעיף 3(ט1) — לבדוק מול יתרת הבעלים</t>
        </is>
      </c>
    </row>
  </sheetData>
  <mergeCells count="2">
    <mergeCell ref="A1:D1"/>
    <mergeCell ref="A2:D2"/>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120"/>
  <sheetViews>
    <sheetView rightToLeft="1" workbookViewId="0">
      <pane ySplit="7" topLeftCell="A8" activePane="bottomLeft" state="frozen"/>
      <selection pane="bottomLeft" activeCell="A1" sqref="A1"/>
    </sheetView>
  </sheetViews>
  <sheetFormatPr baseColWidth="8" defaultRowHeight="15"/>
  <cols>
    <col width="15" customWidth="1" min="1" max="1"/>
    <col width="40" customWidth="1" min="2" max="2"/>
    <col width="16" customWidth="1" min="3" max="3"/>
    <col width="12" customWidth="1" min="4" max="4"/>
    <col width="14" customWidth="1" min="5" max="5"/>
    <col width="14" customWidth="1" min="6" max="6"/>
    <col width="38" customWidth="1" min="7" max="7"/>
    <col width="20" customWidth="1" min="8" max="8"/>
    <col width="14" customWidth="1" min="9" max="9"/>
  </cols>
  <sheetData>
    <row r="1" ht="34" customHeight="1">
      <c r="A1" s="1" t="inlineStr">
        <is>
          <t>מעבדה 1 · ניקוי דאטה בנוסחאות (ETL ללא Power Query)</t>
        </is>
      </c>
    </row>
    <row r="2" ht="20" customHeight="1">
      <c r="A2" s="2" t="inlineStr">
        <is>
          <t>E = שליפה, T = ניקוי והמרה, L = טעינה לטבלה אחידה. כל מה שכאן עובד זהה במק ובווינדוס ובכל שפת ממשק.</t>
        </is>
      </c>
    </row>
    <row r="3">
      <c r="A3" s="14" t="inlineStr">
        <is>
          <t>הלוגיקה העסקית: הבנק לא יודע חשבונאות. הוא נותן טקסט חופשי, ואנחנו צריכים להפוך אותו לסעיף תקציבי מסווג — אחרת אי אפשר להשוות לתקציב.</t>
        </is>
      </c>
    </row>
    <row r="4">
      <c r="A4" s="14" t="inlineStr">
        <is>
          <t>למה נוסחאות ולא Power Query: נוסחה רצה זהה בכל מחשב בכיתה, נראית לעין, וניתנת לביקורת. זו גם הסיבה שרואה חשבון יעדיף אותה בתיק עבודה.</t>
        </is>
      </c>
    </row>
    <row r="5">
      <c r="A5" s="14" t="inlineStr">
        <is>
          <t>יישום נוסף: אותה שיטה בדיוק מנקה קובץ סליקה מכרטיסי אשראי, קובץ שכר מלשכת שירות, או דוח מכירות מ-ERP.</t>
        </is>
      </c>
    </row>
    <row r="6">
      <c r="A6" s="14" t="inlineStr">
        <is>
          <t>שימו לב לפונקציה UNICHAR ולא CHAR: הפונקציה CHAR מחזירה תו שונה במק ובווינדוס, ולכן נוסחה שמנקה עם CHAR(160) תעבוד אצל חלק מהכיתה ותיכשל אצל השאר. UNICHAR זהה בכל מחשב.</t>
        </is>
      </c>
    </row>
    <row r="7" ht="30" customHeight="1">
      <c r="A7" s="8" t="inlineStr">
        <is>
          <t>תאריך_גולמי</t>
        </is>
      </c>
      <c r="B7" s="8" t="inlineStr">
        <is>
          <t>תיאור_גולמי</t>
        </is>
      </c>
      <c r="C7" s="8" t="inlineStr">
        <is>
          <t>סכום_גולמי</t>
        </is>
      </c>
      <c r="D7" s="8" t="inlineStr">
        <is>
          <t>אסמכתא</t>
        </is>
      </c>
      <c r="E7" s="8" t="inlineStr">
        <is>
          <t>1. תאריך תקין</t>
        </is>
      </c>
      <c r="F7" s="8" t="inlineStr">
        <is>
          <t>2. סכום כמספר</t>
        </is>
      </c>
      <c r="G7" s="8" t="inlineStr">
        <is>
          <t>3. תיאור נקי</t>
        </is>
      </c>
      <c r="H7" s="8" t="inlineStr">
        <is>
          <t>4. סעיף</t>
        </is>
      </c>
      <c r="I7" s="8" t="inlineStr">
        <is>
          <t>5. דגל כפילות</t>
        </is>
      </c>
    </row>
    <row r="8">
      <c r="A8" s="6">
        <f>'01_גולמי_בנק'!A5</f>
        <v/>
      </c>
      <c r="B8" s="6">
        <f>'01_גולמי_בנק'!B5</f>
        <v/>
      </c>
      <c r="C8" s="6">
        <f>'01_גולמי_בנק'!C5</f>
        <v/>
      </c>
      <c r="D8" s="6">
        <f>'01_גולמי_בנק'!D5</f>
        <v/>
      </c>
      <c r="E8" s="15" t="n"/>
      <c r="F8" s="16" t="n"/>
      <c r="G8" s="17" t="n"/>
      <c r="H8" s="17" t="n"/>
      <c r="I8" s="17" t="n"/>
    </row>
    <row r="9">
      <c r="A9" s="6">
        <f>'01_גולמי_בנק'!A6</f>
        <v/>
      </c>
      <c r="B9" s="6">
        <f>'01_גולמי_בנק'!B6</f>
        <v/>
      </c>
      <c r="C9" s="6">
        <f>'01_גולמי_בנק'!C6</f>
        <v/>
      </c>
      <c r="D9" s="6">
        <f>'01_גולמי_בנק'!D6</f>
        <v/>
      </c>
      <c r="E9" s="15" t="n"/>
      <c r="F9" s="16" t="n"/>
      <c r="G9" s="17" t="n"/>
      <c r="H9" s="17" t="n"/>
      <c r="I9" s="17" t="n"/>
    </row>
    <row r="10">
      <c r="A10" s="6">
        <f>'01_גולמי_בנק'!A7</f>
        <v/>
      </c>
      <c r="B10" s="6">
        <f>'01_גולמי_בנק'!B7</f>
        <v/>
      </c>
      <c r="C10" s="6">
        <f>'01_גולמי_בנק'!C7</f>
        <v/>
      </c>
      <c r="D10" s="6">
        <f>'01_גולמי_בנק'!D7</f>
        <v/>
      </c>
      <c r="E10" s="15" t="n"/>
      <c r="F10" s="16" t="n"/>
      <c r="G10" s="17" t="n"/>
      <c r="H10" s="17" t="n"/>
      <c r="I10" s="17" t="n"/>
    </row>
    <row r="11">
      <c r="A11" s="6">
        <f>'01_גולמי_בנק'!A8</f>
        <v/>
      </c>
      <c r="B11" s="6">
        <f>'01_גולמי_בנק'!B8</f>
        <v/>
      </c>
      <c r="C11" s="6">
        <f>'01_גולמי_בנק'!C8</f>
        <v/>
      </c>
      <c r="D11" s="6">
        <f>'01_גולמי_בנק'!D8</f>
        <v/>
      </c>
      <c r="E11" s="15" t="n"/>
      <c r="F11" s="16" t="n"/>
      <c r="G11" s="17" t="n"/>
      <c r="H11" s="17" t="n"/>
      <c r="I11" s="17" t="n"/>
    </row>
    <row r="12">
      <c r="A12" s="6">
        <f>'01_גולמי_בנק'!A9</f>
        <v/>
      </c>
      <c r="B12" s="6">
        <f>'01_גולמי_בנק'!B9</f>
        <v/>
      </c>
      <c r="C12" s="6">
        <f>'01_גולמי_בנק'!C9</f>
        <v/>
      </c>
      <c r="D12" s="6">
        <f>'01_גולמי_בנק'!D9</f>
        <v/>
      </c>
      <c r="E12" s="15" t="n"/>
      <c r="F12" s="16" t="n"/>
      <c r="G12" s="17" t="n"/>
      <c r="H12" s="17" t="n"/>
      <c r="I12" s="17" t="n"/>
    </row>
    <row r="13">
      <c r="A13" s="6">
        <f>'01_גולמי_בנק'!A10</f>
        <v/>
      </c>
      <c r="B13" s="6">
        <f>'01_גולמי_בנק'!B10</f>
        <v/>
      </c>
      <c r="C13" s="6">
        <f>'01_גולמי_בנק'!C10</f>
        <v/>
      </c>
      <c r="D13" s="6">
        <f>'01_גולמי_בנק'!D10</f>
        <v/>
      </c>
      <c r="E13" s="15" t="n"/>
      <c r="F13" s="16" t="n"/>
      <c r="G13" s="17" t="n"/>
      <c r="H13" s="17" t="n"/>
      <c r="I13" s="17" t="n"/>
    </row>
    <row r="14">
      <c r="A14" s="6">
        <f>'01_גולמי_בנק'!A11</f>
        <v/>
      </c>
      <c r="B14" s="6">
        <f>'01_גולמי_בנק'!B11</f>
        <v/>
      </c>
      <c r="C14" s="6">
        <f>'01_גולמי_בנק'!C11</f>
        <v/>
      </c>
      <c r="D14" s="6">
        <f>'01_גולמי_בנק'!D11</f>
        <v/>
      </c>
      <c r="E14" s="15" t="n"/>
      <c r="F14" s="16" t="n"/>
      <c r="G14" s="17" t="n"/>
      <c r="H14" s="17" t="n"/>
      <c r="I14" s="17" t="n"/>
    </row>
    <row r="15">
      <c r="A15" s="6">
        <f>'01_גולמי_בנק'!A12</f>
        <v/>
      </c>
      <c r="B15" s="6">
        <f>'01_גולמי_בנק'!B12</f>
        <v/>
      </c>
      <c r="C15" s="6">
        <f>'01_גולמי_בנק'!C12</f>
        <v/>
      </c>
      <c r="D15" s="6">
        <f>'01_גולמי_בנק'!D12</f>
        <v/>
      </c>
      <c r="E15" s="15" t="n"/>
      <c r="F15" s="16" t="n"/>
      <c r="G15" s="17" t="n"/>
      <c r="H15" s="17" t="n"/>
      <c r="I15" s="17" t="n"/>
    </row>
    <row r="16">
      <c r="A16" s="6">
        <f>'01_גולמי_בנק'!A13</f>
        <v/>
      </c>
      <c r="B16" s="6">
        <f>'01_גולמי_בנק'!B13</f>
        <v/>
      </c>
      <c r="C16" s="6">
        <f>'01_גולמי_בנק'!C13</f>
        <v/>
      </c>
      <c r="D16" s="6">
        <f>'01_גולמי_בנק'!D13</f>
        <v/>
      </c>
      <c r="E16" s="15" t="n"/>
      <c r="F16" s="16" t="n"/>
      <c r="G16" s="17" t="n"/>
      <c r="H16" s="17" t="n"/>
      <c r="I16" s="17" t="n"/>
    </row>
    <row r="17">
      <c r="A17" s="6">
        <f>'01_גולמי_בנק'!A14</f>
        <v/>
      </c>
      <c r="B17" s="6">
        <f>'01_גולמי_בנק'!B14</f>
        <v/>
      </c>
      <c r="C17" s="6">
        <f>'01_גולמי_בנק'!C14</f>
        <v/>
      </c>
      <c r="D17" s="6">
        <f>'01_גולמי_בנק'!D14</f>
        <v/>
      </c>
      <c r="E17" s="15" t="n"/>
      <c r="F17" s="16" t="n"/>
      <c r="G17" s="17" t="n"/>
      <c r="H17" s="17" t="n"/>
      <c r="I17" s="17" t="n"/>
    </row>
    <row r="18">
      <c r="A18" s="6">
        <f>'01_גולמי_בנק'!A15</f>
        <v/>
      </c>
      <c r="B18" s="6">
        <f>'01_גולמי_בנק'!B15</f>
        <v/>
      </c>
      <c r="C18" s="6">
        <f>'01_גולמי_בנק'!C15</f>
        <v/>
      </c>
      <c r="D18" s="6">
        <f>'01_גולמי_בנק'!D15</f>
        <v/>
      </c>
      <c r="E18" s="15" t="n"/>
      <c r="F18" s="16" t="n"/>
      <c r="G18" s="17" t="n"/>
      <c r="H18" s="17" t="n"/>
      <c r="I18" s="17" t="n"/>
    </row>
    <row r="19">
      <c r="A19" s="6">
        <f>'01_גולמי_בנק'!A16</f>
        <v/>
      </c>
      <c r="B19" s="6">
        <f>'01_גולמי_בנק'!B16</f>
        <v/>
      </c>
      <c r="C19" s="6">
        <f>'01_גולמי_בנק'!C16</f>
        <v/>
      </c>
      <c r="D19" s="6">
        <f>'01_גולמי_בנק'!D16</f>
        <v/>
      </c>
      <c r="E19" s="15" t="n"/>
      <c r="F19" s="16" t="n"/>
      <c r="G19" s="17" t="n"/>
      <c r="H19" s="17" t="n"/>
      <c r="I19" s="17" t="n"/>
    </row>
    <row r="20">
      <c r="A20" s="6">
        <f>'01_גולמי_בנק'!A17</f>
        <v/>
      </c>
      <c r="B20" s="6">
        <f>'01_גולמי_בנק'!B17</f>
        <v/>
      </c>
      <c r="C20" s="6">
        <f>'01_גולמי_בנק'!C17</f>
        <v/>
      </c>
      <c r="D20" s="6">
        <f>'01_גולמי_בנק'!D17</f>
        <v/>
      </c>
      <c r="E20" s="15" t="n"/>
      <c r="F20" s="16" t="n"/>
      <c r="G20" s="17" t="n"/>
      <c r="H20" s="17" t="n"/>
      <c r="I20" s="17" t="n"/>
    </row>
    <row r="21">
      <c r="A21" s="6">
        <f>'01_גולמי_בנק'!A18</f>
        <v/>
      </c>
      <c r="B21" s="6">
        <f>'01_גולמי_בנק'!B18</f>
        <v/>
      </c>
      <c r="C21" s="6">
        <f>'01_גולמי_בנק'!C18</f>
        <v/>
      </c>
      <c r="D21" s="6">
        <f>'01_גולמי_בנק'!D18</f>
        <v/>
      </c>
      <c r="E21" s="15" t="n"/>
      <c r="F21" s="16" t="n"/>
      <c r="G21" s="17" t="n"/>
      <c r="H21" s="17" t="n"/>
      <c r="I21" s="17" t="n"/>
    </row>
    <row r="22">
      <c r="A22" s="6">
        <f>'01_גולמי_בנק'!A19</f>
        <v/>
      </c>
      <c r="B22" s="6">
        <f>'01_גולמי_בנק'!B19</f>
        <v/>
      </c>
      <c r="C22" s="6">
        <f>'01_גולמי_בנק'!C19</f>
        <v/>
      </c>
      <c r="D22" s="6">
        <f>'01_גולמי_בנק'!D19</f>
        <v/>
      </c>
      <c r="E22" s="15" t="n"/>
      <c r="F22" s="16" t="n"/>
      <c r="G22" s="17" t="n"/>
      <c r="H22" s="17" t="n"/>
      <c r="I22" s="17" t="n"/>
    </row>
    <row r="23">
      <c r="A23" s="6">
        <f>'01_גולמי_בנק'!A20</f>
        <v/>
      </c>
      <c r="B23" s="6">
        <f>'01_גולמי_בנק'!B20</f>
        <v/>
      </c>
      <c r="C23" s="6">
        <f>'01_גולמי_בנק'!C20</f>
        <v/>
      </c>
      <c r="D23" s="6">
        <f>'01_גולמי_בנק'!D20</f>
        <v/>
      </c>
      <c r="E23" s="15" t="n"/>
      <c r="F23" s="16" t="n"/>
      <c r="G23" s="17" t="n"/>
      <c r="H23" s="17" t="n"/>
      <c r="I23" s="17" t="n"/>
    </row>
    <row r="24">
      <c r="A24" s="6">
        <f>'01_גולמי_בנק'!A21</f>
        <v/>
      </c>
      <c r="B24" s="6">
        <f>'01_גולמי_בנק'!B21</f>
        <v/>
      </c>
      <c r="C24" s="6">
        <f>'01_גולמי_בנק'!C21</f>
        <v/>
      </c>
      <c r="D24" s="6">
        <f>'01_גולמי_בנק'!D21</f>
        <v/>
      </c>
      <c r="E24" s="15" t="n"/>
      <c r="F24" s="16" t="n"/>
      <c r="G24" s="17" t="n"/>
      <c r="H24" s="17" t="n"/>
      <c r="I24" s="17" t="n"/>
    </row>
    <row r="25">
      <c r="A25" s="6">
        <f>'01_גולמי_בנק'!A22</f>
        <v/>
      </c>
      <c r="B25" s="6">
        <f>'01_גולמי_בנק'!B22</f>
        <v/>
      </c>
      <c r="C25" s="6">
        <f>'01_גולמי_בנק'!C22</f>
        <v/>
      </c>
      <c r="D25" s="6">
        <f>'01_גולמי_בנק'!D22</f>
        <v/>
      </c>
      <c r="E25" s="15" t="n"/>
      <c r="F25" s="16" t="n"/>
      <c r="G25" s="17" t="n"/>
      <c r="H25" s="17" t="n"/>
      <c r="I25" s="17" t="n"/>
    </row>
    <row r="26">
      <c r="A26" s="6">
        <f>'01_גולמי_בנק'!A23</f>
        <v/>
      </c>
      <c r="B26" s="6">
        <f>'01_גולמי_בנק'!B23</f>
        <v/>
      </c>
      <c r="C26" s="6">
        <f>'01_גולמי_בנק'!C23</f>
        <v/>
      </c>
      <c r="D26" s="6">
        <f>'01_גולמי_בנק'!D23</f>
        <v/>
      </c>
      <c r="E26" s="15" t="n"/>
      <c r="F26" s="16" t="n"/>
      <c r="G26" s="17" t="n"/>
      <c r="H26" s="17" t="n"/>
      <c r="I26" s="17" t="n"/>
    </row>
    <row r="27">
      <c r="A27" s="6">
        <f>'01_גולמי_בנק'!A24</f>
        <v/>
      </c>
      <c r="B27" s="6">
        <f>'01_גולמי_בנק'!B24</f>
        <v/>
      </c>
      <c r="C27" s="6">
        <f>'01_גולמי_בנק'!C24</f>
        <v/>
      </c>
      <c r="D27" s="6">
        <f>'01_גולמי_בנק'!D24</f>
        <v/>
      </c>
      <c r="E27" s="15" t="n"/>
      <c r="F27" s="16" t="n"/>
      <c r="G27" s="17" t="n"/>
      <c r="H27" s="17" t="n"/>
      <c r="I27" s="17" t="n"/>
    </row>
    <row r="28">
      <c r="A28" s="6">
        <f>'01_גולמי_בנק'!A25</f>
        <v/>
      </c>
      <c r="B28" s="6">
        <f>'01_גולמי_בנק'!B25</f>
        <v/>
      </c>
      <c r="C28" s="6">
        <f>'01_גולמי_בנק'!C25</f>
        <v/>
      </c>
      <c r="D28" s="6">
        <f>'01_גולמי_בנק'!D25</f>
        <v/>
      </c>
      <c r="E28" s="15" t="n"/>
      <c r="F28" s="16" t="n"/>
      <c r="G28" s="17" t="n"/>
      <c r="H28" s="17" t="n"/>
      <c r="I28" s="17" t="n"/>
    </row>
    <row r="29">
      <c r="A29" s="6">
        <f>'01_גולמי_בנק'!A26</f>
        <v/>
      </c>
      <c r="B29" s="6">
        <f>'01_גולמי_בנק'!B26</f>
        <v/>
      </c>
      <c r="C29" s="6">
        <f>'01_גולמי_בנק'!C26</f>
        <v/>
      </c>
      <c r="D29" s="6">
        <f>'01_גולמי_בנק'!D26</f>
        <v/>
      </c>
      <c r="E29" s="15" t="n"/>
      <c r="F29" s="16" t="n"/>
      <c r="G29" s="17" t="n"/>
      <c r="H29" s="17" t="n"/>
      <c r="I29" s="17" t="n"/>
    </row>
    <row r="30">
      <c r="A30" s="6">
        <f>'01_גולמי_בנק'!A27</f>
        <v/>
      </c>
      <c r="B30" s="6">
        <f>'01_גולמי_בנק'!B27</f>
        <v/>
      </c>
      <c r="C30" s="6">
        <f>'01_גולמי_בנק'!C27</f>
        <v/>
      </c>
      <c r="D30" s="6">
        <f>'01_גולמי_בנק'!D27</f>
        <v/>
      </c>
      <c r="E30" s="15" t="n"/>
      <c r="F30" s="16" t="n"/>
      <c r="G30" s="17" t="n"/>
      <c r="H30" s="17" t="n"/>
      <c r="I30" s="17" t="n"/>
    </row>
    <row r="31">
      <c r="A31" s="6">
        <f>'01_גולמי_בנק'!A28</f>
        <v/>
      </c>
      <c r="B31" s="6">
        <f>'01_גולמי_בנק'!B28</f>
        <v/>
      </c>
      <c r="C31" s="6">
        <f>'01_גולמי_בנק'!C28</f>
        <v/>
      </c>
      <c r="D31" s="6">
        <f>'01_גולמי_בנק'!D28</f>
        <v/>
      </c>
      <c r="E31" s="15" t="n"/>
      <c r="F31" s="16" t="n"/>
      <c r="G31" s="17" t="n"/>
      <c r="H31" s="17" t="n"/>
      <c r="I31" s="17" t="n"/>
    </row>
    <row r="32">
      <c r="A32" s="6">
        <f>'01_גולמי_בנק'!A29</f>
        <v/>
      </c>
      <c r="B32" s="6">
        <f>'01_גולמי_בנק'!B29</f>
        <v/>
      </c>
      <c r="C32" s="6">
        <f>'01_גולמי_בנק'!C29</f>
        <v/>
      </c>
      <c r="D32" s="6">
        <f>'01_גולמי_בנק'!D29</f>
        <v/>
      </c>
      <c r="E32" s="15" t="n"/>
      <c r="F32" s="16" t="n"/>
      <c r="G32" s="17" t="n"/>
      <c r="H32" s="17" t="n"/>
      <c r="I32" s="17" t="n"/>
    </row>
    <row r="33">
      <c r="A33" s="6">
        <f>'01_גולמי_בנק'!A30</f>
        <v/>
      </c>
      <c r="B33" s="6">
        <f>'01_גולמי_בנק'!B30</f>
        <v/>
      </c>
      <c r="C33" s="6">
        <f>'01_גולמי_בנק'!C30</f>
        <v/>
      </c>
      <c r="D33" s="6">
        <f>'01_גולמי_בנק'!D30</f>
        <v/>
      </c>
      <c r="E33" s="15" t="n"/>
      <c r="F33" s="16" t="n"/>
      <c r="G33" s="17" t="n"/>
      <c r="H33" s="17" t="n"/>
      <c r="I33" s="17" t="n"/>
    </row>
    <row r="34">
      <c r="A34" s="6">
        <f>'01_גולמי_בנק'!A31</f>
        <v/>
      </c>
      <c r="B34" s="6">
        <f>'01_גולמי_בנק'!B31</f>
        <v/>
      </c>
      <c r="C34" s="6">
        <f>'01_גולמי_בנק'!C31</f>
        <v/>
      </c>
      <c r="D34" s="6">
        <f>'01_גולמי_בנק'!D31</f>
        <v/>
      </c>
      <c r="E34" s="15" t="n"/>
      <c r="F34" s="16" t="n"/>
      <c r="G34" s="17" t="n"/>
      <c r="H34" s="17" t="n"/>
      <c r="I34" s="17" t="n"/>
    </row>
    <row r="35">
      <c r="A35" s="6">
        <f>'01_גולמי_בנק'!A32</f>
        <v/>
      </c>
      <c r="B35" s="6">
        <f>'01_גולמי_בנק'!B32</f>
        <v/>
      </c>
      <c r="C35" s="6">
        <f>'01_גולמי_בנק'!C32</f>
        <v/>
      </c>
      <c r="D35" s="6">
        <f>'01_גולמי_בנק'!D32</f>
        <v/>
      </c>
      <c r="E35" s="15" t="n"/>
      <c r="F35" s="16" t="n"/>
      <c r="G35" s="17" t="n"/>
      <c r="H35" s="17" t="n"/>
      <c r="I35" s="17" t="n"/>
    </row>
    <row r="36">
      <c r="A36" s="6">
        <f>'01_גולמי_בנק'!A33</f>
        <v/>
      </c>
      <c r="B36" s="6">
        <f>'01_גולמי_בנק'!B33</f>
        <v/>
      </c>
      <c r="C36" s="6">
        <f>'01_גולמי_בנק'!C33</f>
        <v/>
      </c>
      <c r="D36" s="6">
        <f>'01_גולמי_בנק'!D33</f>
        <v/>
      </c>
      <c r="E36" s="15" t="n"/>
      <c r="F36" s="16" t="n"/>
      <c r="G36" s="17" t="n"/>
      <c r="H36" s="17" t="n"/>
      <c r="I36" s="17" t="n"/>
    </row>
    <row r="37">
      <c r="A37" s="6">
        <f>'01_גולמי_בנק'!A34</f>
        <v/>
      </c>
      <c r="B37" s="6">
        <f>'01_גולמי_בנק'!B34</f>
        <v/>
      </c>
      <c r="C37" s="6">
        <f>'01_גולמי_בנק'!C34</f>
        <v/>
      </c>
      <c r="D37" s="6">
        <f>'01_גולמי_בנק'!D34</f>
        <v/>
      </c>
      <c r="E37" s="15" t="n"/>
      <c r="F37" s="16" t="n"/>
      <c r="G37" s="17" t="n"/>
      <c r="H37" s="17" t="n"/>
      <c r="I37" s="17" t="n"/>
    </row>
    <row r="38">
      <c r="A38" s="6">
        <f>'01_גולמי_בנק'!A35</f>
        <v/>
      </c>
      <c r="B38" s="6">
        <f>'01_גולמי_בנק'!B35</f>
        <v/>
      </c>
      <c r="C38" s="6">
        <f>'01_גולמי_בנק'!C35</f>
        <v/>
      </c>
      <c r="D38" s="6">
        <f>'01_גולמי_בנק'!D35</f>
        <v/>
      </c>
      <c r="E38" s="15" t="n"/>
      <c r="F38" s="16" t="n"/>
      <c r="G38" s="17" t="n"/>
      <c r="H38" s="17" t="n"/>
      <c r="I38" s="17" t="n"/>
    </row>
    <row r="39">
      <c r="A39" s="6">
        <f>'01_גולמי_בנק'!A36</f>
        <v/>
      </c>
      <c r="B39" s="6">
        <f>'01_גולמי_בנק'!B36</f>
        <v/>
      </c>
      <c r="C39" s="6">
        <f>'01_גולמי_בנק'!C36</f>
        <v/>
      </c>
      <c r="D39" s="6">
        <f>'01_גולמי_בנק'!D36</f>
        <v/>
      </c>
      <c r="E39" s="15" t="n"/>
      <c r="F39" s="16" t="n"/>
      <c r="G39" s="17" t="n"/>
      <c r="H39" s="17" t="n"/>
      <c r="I39" s="17" t="n"/>
    </row>
    <row r="40">
      <c r="A40" s="6">
        <f>'01_גולמי_בנק'!A37</f>
        <v/>
      </c>
      <c r="B40" s="6">
        <f>'01_גולמי_בנק'!B37</f>
        <v/>
      </c>
      <c r="C40" s="6">
        <f>'01_גולמי_בנק'!C37</f>
        <v/>
      </c>
      <c r="D40" s="6">
        <f>'01_גולמי_בנק'!D37</f>
        <v/>
      </c>
      <c r="E40" s="15" t="n"/>
      <c r="F40" s="16" t="n"/>
      <c r="G40" s="17" t="n"/>
      <c r="H40" s="17" t="n"/>
      <c r="I40" s="17" t="n"/>
    </row>
    <row r="41">
      <c r="A41" s="6">
        <f>'01_גולמי_בנק'!A38</f>
        <v/>
      </c>
      <c r="B41" s="6">
        <f>'01_גולמי_בנק'!B38</f>
        <v/>
      </c>
      <c r="C41" s="6">
        <f>'01_גולמי_בנק'!C38</f>
        <v/>
      </c>
      <c r="D41" s="6">
        <f>'01_גולמי_בנק'!D38</f>
        <v/>
      </c>
      <c r="E41" s="15" t="n"/>
      <c r="F41" s="16" t="n"/>
      <c r="G41" s="17" t="n"/>
      <c r="H41" s="17" t="n"/>
      <c r="I41" s="17" t="n"/>
    </row>
    <row r="42">
      <c r="A42" s="6">
        <f>'01_גולמי_בנק'!A39</f>
        <v/>
      </c>
      <c r="B42" s="6">
        <f>'01_גולמי_בנק'!B39</f>
        <v/>
      </c>
      <c r="C42" s="6">
        <f>'01_גולמי_בנק'!C39</f>
        <v/>
      </c>
      <c r="D42" s="6">
        <f>'01_גולמי_בנק'!D39</f>
        <v/>
      </c>
      <c r="E42" s="15" t="n"/>
      <c r="F42" s="16" t="n"/>
      <c r="G42" s="17" t="n"/>
      <c r="H42" s="17" t="n"/>
      <c r="I42" s="17" t="n"/>
    </row>
    <row r="43">
      <c r="A43" s="6">
        <f>'01_גולמי_בנק'!A40</f>
        <v/>
      </c>
      <c r="B43" s="6">
        <f>'01_גולמי_בנק'!B40</f>
        <v/>
      </c>
      <c r="C43" s="6">
        <f>'01_גולמי_בנק'!C40</f>
        <v/>
      </c>
      <c r="D43" s="6">
        <f>'01_גולמי_בנק'!D40</f>
        <v/>
      </c>
      <c r="E43" s="15" t="n"/>
      <c r="F43" s="16" t="n"/>
      <c r="G43" s="17" t="n"/>
      <c r="H43" s="17" t="n"/>
      <c r="I43" s="17" t="n"/>
    </row>
    <row r="44">
      <c r="A44" s="6">
        <f>'01_גולמי_בנק'!A41</f>
        <v/>
      </c>
      <c r="B44" s="6">
        <f>'01_גולמי_בנק'!B41</f>
        <v/>
      </c>
      <c r="C44" s="6">
        <f>'01_גולמי_בנק'!C41</f>
        <v/>
      </c>
      <c r="D44" s="6">
        <f>'01_גולמי_בנק'!D41</f>
        <v/>
      </c>
      <c r="E44" s="15" t="n"/>
      <c r="F44" s="16" t="n"/>
      <c r="G44" s="17" t="n"/>
      <c r="H44" s="17" t="n"/>
      <c r="I44" s="17" t="n"/>
    </row>
    <row r="45">
      <c r="A45" s="6">
        <f>'01_גולמי_בנק'!A42</f>
        <v/>
      </c>
      <c r="B45" s="6">
        <f>'01_גולמי_בנק'!B42</f>
        <v/>
      </c>
      <c r="C45" s="6">
        <f>'01_גולמי_בנק'!C42</f>
        <v/>
      </c>
      <c r="D45" s="6">
        <f>'01_גולמי_בנק'!D42</f>
        <v/>
      </c>
      <c r="E45" s="15" t="n"/>
      <c r="F45" s="16" t="n"/>
      <c r="G45" s="17" t="n"/>
      <c r="H45" s="17" t="n"/>
      <c r="I45" s="17" t="n"/>
    </row>
    <row r="46">
      <c r="A46" s="6">
        <f>'01_גולמי_בנק'!A43</f>
        <v/>
      </c>
      <c r="B46" s="6">
        <f>'01_גולמי_בנק'!B43</f>
        <v/>
      </c>
      <c r="C46" s="6">
        <f>'01_גולמי_בנק'!C43</f>
        <v/>
      </c>
      <c r="D46" s="6">
        <f>'01_גולמי_בנק'!D43</f>
        <v/>
      </c>
      <c r="E46" s="15" t="n"/>
      <c r="F46" s="16" t="n"/>
      <c r="G46" s="17" t="n"/>
      <c r="H46" s="17" t="n"/>
      <c r="I46" s="17" t="n"/>
    </row>
    <row r="47">
      <c r="A47" s="6">
        <f>'01_גולמי_בנק'!A44</f>
        <v/>
      </c>
      <c r="B47" s="6">
        <f>'01_גולמי_בנק'!B44</f>
        <v/>
      </c>
      <c r="C47" s="6">
        <f>'01_גולמי_בנק'!C44</f>
        <v/>
      </c>
      <c r="D47" s="6">
        <f>'01_גולמי_בנק'!D44</f>
        <v/>
      </c>
      <c r="E47" s="15" t="n"/>
      <c r="F47" s="16" t="n"/>
      <c r="G47" s="17" t="n"/>
      <c r="H47" s="17" t="n"/>
      <c r="I47" s="17" t="n"/>
    </row>
    <row r="48">
      <c r="A48" s="6">
        <f>'01_גולמי_בנק'!A45</f>
        <v/>
      </c>
      <c r="B48" s="6">
        <f>'01_גולמי_בנק'!B45</f>
        <v/>
      </c>
      <c r="C48" s="6">
        <f>'01_גולמי_בנק'!C45</f>
        <v/>
      </c>
      <c r="D48" s="6">
        <f>'01_גולמי_בנק'!D45</f>
        <v/>
      </c>
      <c r="E48" s="15" t="n"/>
      <c r="F48" s="16" t="n"/>
      <c r="G48" s="17" t="n"/>
      <c r="H48" s="17" t="n"/>
      <c r="I48" s="17" t="n"/>
    </row>
    <row r="49">
      <c r="A49" s="6">
        <f>'01_גולמי_בנק'!A46</f>
        <v/>
      </c>
      <c r="B49" s="6">
        <f>'01_גולמי_בנק'!B46</f>
        <v/>
      </c>
      <c r="C49" s="6">
        <f>'01_גולמי_בנק'!C46</f>
        <v/>
      </c>
      <c r="D49" s="6">
        <f>'01_גולמי_בנק'!D46</f>
        <v/>
      </c>
      <c r="E49" s="15" t="n"/>
      <c r="F49" s="16" t="n"/>
      <c r="G49" s="17" t="n"/>
      <c r="H49" s="17" t="n"/>
      <c r="I49" s="17" t="n"/>
    </row>
    <row r="50">
      <c r="A50" s="6">
        <f>'01_גולמי_בנק'!A47</f>
        <v/>
      </c>
      <c r="B50" s="6">
        <f>'01_גולמי_בנק'!B47</f>
        <v/>
      </c>
      <c r="C50" s="6">
        <f>'01_גולמי_בנק'!C47</f>
        <v/>
      </c>
      <c r="D50" s="6">
        <f>'01_גולמי_בנק'!D47</f>
        <v/>
      </c>
      <c r="E50" s="15" t="n"/>
      <c r="F50" s="16" t="n"/>
      <c r="G50" s="17" t="n"/>
      <c r="H50" s="17" t="n"/>
      <c r="I50" s="17" t="n"/>
    </row>
    <row r="51">
      <c r="A51" s="6">
        <f>'01_גולמי_בנק'!A48</f>
        <v/>
      </c>
      <c r="B51" s="6">
        <f>'01_גולמי_בנק'!B48</f>
        <v/>
      </c>
      <c r="C51" s="6">
        <f>'01_גולמי_בנק'!C48</f>
        <v/>
      </c>
      <c r="D51" s="6">
        <f>'01_גולמי_בנק'!D48</f>
        <v/>
      </c>
      <c r="E51" s="15" t="n"/>
      <c r="F51" s="16" t="n"/>
      <c r="G51" s="17" t="n"/>
      <c r="H51" s="17" t="n"/>
      <c r="I51" s="17" t="n"/>
    </row>
    <row r="52">
      <c r="A52" s="6">
        <f>'01_גולמי_בנק'!A49</f>
        <v/>
      </c>
      <c r="B52" s="6">
        <f>'01_גולמי_בנק'!B49</f>
        <v/>
      </c>
      <c r="C52" s="6">
        <f>'01_גולמי_בנק'!C49</f>
        <v/>
      </c>
      <c r="D52" s="6">
        <f>'01_גולמי_בנק'!D49</f>
        <v/>
      </c>
      <c r="E52" s="15" t="n"/>
      <c r="F52" s="16" t="n"/>
      <c r="G52" s="17" t="n"/>
      <c r="H52" s="17" t="n"/>
      <c r="I52" s="17" t="n"/>
    </row>
    <row r="53">
      <c r="A53" s="6">
        <f>'01_גולמי_בנק'!A50</f>
        <v/>
      </c>
      <c r="B53" s="6">
        <f>'01_גולמי_בנק'!B50</f>
        <v/>
      </c>
      <c r="C53" s="6">
        <f>'01_גולמי_בנק'!C50</f>
        <v/>
      </c>
      <c r="D53" s="6">
        <f>'01_גולמי_בנק'!D50</f>
        <v/>
      </c>
      <c r="E53" s="15" t="n"/>
      <c r="F53" s="16" t="n"/>
      <c r="G53" s="17" t="n"/>
      <c r="H53" s="17" t="n"/>
      <c r="I53" s="17" t="n"/>
    </row>
    <row r="54">
      <c r="A54" s="6">
        <f>'01_גולמי_בנק'!A51</f>
        <v/>
      </c>
      <c r="B54" s="6">
        <f>'01_גולמי_בנק'!B51</f>
        <v/>
      </c>
      <c r="C54" s="6">
        <f>'01_גולמי_בנק'!C51</f>
        <v/>
      </c>
      <c r="D54" s="6">
        <f>'01_גולמי_בנק'!D51</f>
        <v/>
      </c>
      <c r="E54" s="15" t="n"/>
      <c r="F54" s="16" t="n"/>
      <c r="G54" s="17" t="n"/>
      <c r="H54" s="17" t="n"/>
      <c r="I54" s="17" t="n"/>
    </row>
    <row r="55">
      <c r="A55" s="6">
        <f>'01_גולמי_בנק'!A52</f>
        <v/>
      </c>
      <c r="B55" s="6">
        <f>'01_גולמי_בנק'!B52</f>
        <v/>
      </c>
      <c r="C55" s="6">
        <f>'01_גולמי_בנק'!C52</f>
        <v/>
      </c>
      <c r="D55" s="6">
        <f>'01_גולמי_בנק'!D52</f>
        <v/>
      </c>
      <c r="E55" s="15" t="n"/>
      <c r="F55" s="16" t="n"/>
      <c r="G55" s="17" t="n"/>
      <c r="H55" s="17" t="n"/>
      <c r="I55" s="17" t="n"/>
    </row>
    <row r="56">
      <c r="A56" s="6">
        <f>'01_גולמי_בנק'!A53</f>
        <v/>
      </c>
      <c r="B56" s="6">
        <f>'01_גולמי_בנק'!B53</f>
        <v/>
      </c>
      <c r="C56" s="6">
        <f>'01_גולמי_בנק'!C53</f>
        <v/>
      </c>
      <c r="D56" s="6">
        <f>'01_גולמי_בנק'!D53</f>
        <v/>
      </c>
      <c r="E56" s="15" t="n"/>
      <c r="F56" s="16" t="n"/>
      <c r="G56" s="17" t="n"/>
      <c r="H56" s="17" t="n"/>
      <c r="I56" s="17" t="n"/>
    </row>
    <row r="57">
      <c r="A57" s="6">
        <f>'01_גולמי_בנק'!A54</f>
        <v/>
      </c>
      <c r="B57" s="6">
        <f>'01_גולמי_בנק'!B54</f>
        <v/>
      </c>
      <c r="C57" s="6">
        <f>'01_גולמי_בנק'!C54</f>
        <v/>
      </c>
      <c r="D57" s="6">
        <f>'01_גולמי_בנק'!D54</f>
        <v/>
      </c>
      <c r="E57" s="15" t="n"/>
      <c r="F57" s="16" t="n"/>
      <c r="G57" s="17" t="n"/>
      <c r="H57" s="17" t="n"/>
      <c r="I57" s="17" t="n"/>
    </row>
    <row r="58">
      <c r="A58" s="6">
        <f>'01_גולמי_בנק'!A55</f>
        <v/>
      </c>
      <c r="B58" s="6">
        <f>'01_גולמי_בנק'!B55</f>
        <v/>
      </c>
      <c r="C58" s="6">
        <f>'01_גולמי_בנק'!C55</f>
        <v/>
      </c>
      <c r="D58" s="6">
        <f>'01_גולמי_בנק'!D55</f>
        <v/>
      </c>
      <c r="E58" s="15" t="n"/>
      <c r="F58" s="16" t="n"/>
      <c r="G58" s="17" t="n"/>
      <c r="H58" s="17" t="n"/>
      <c r="I58" s="17" t="n"/>
    </row>
    <row r="59">
      <c r="A59" s="6">
        <f>'01_גולמי_בנק'!A56</f>
        <v/>
      </c>
      <c r="B59" s="6">
        <f>'01_גולמי_בנק'!B56</f>
        <v/>
      </c>
      <c r="C59" s="6">
        <f>'01_גולמי_בנק'!C56</f>
        <v/>
      </c>
      <c r="D59" s="6">
        <f>'01_גולמי_בנק'!D56</f>
        <v/>
      </c>
      <c r="E59" s="15" t="n"/>
      <c r="F59" s="16" t="n"/>
      <c r="G59" s="17" t="n"/>
      <c r="H59" s="17" t="n"/>
      <c r="I59" s="17" t="n"/>
    </row>
    <row r="60">
      <c r="A60" s="6">
        <f>'01_גולמי_בנק'!A57</f>
        <v/>
      </c>
      <c r="B60" s="6">
        <f>'01_גולמי_בנק'!B57</f>
        <v/>
      </c>
      <c r="C60" s="6">
        <f>'01_גולמי_בנק'!C57</f>
        <v/>
      </c>
      <c r="D60" s="6">
        <f>'01_גולמי_בנק'!D57</f>
        <v/>
      </c>
      <c r="E60" s="15" t="n"/>
      <c r="F60" s="16" t="n"/>
      <c r="G60" s="17" t="n"/>
      <c r="H60" s="17" t="n"/>
      <c r="I60" s="17" t="n"/>
    </row>
    <row r="61">
      <c r="A61" s="6">
        <f>'01_גולמי_בנק'!A58</f>
        <v/>
      </c>
      <c r="B61" s="6">
        <f>'01_גולמי_בנק'!B58</f>
        <v/>
      </c>
      <c r="C61" s="6">
        <f>'01_גולמי_בנק'!C58</f>
        <v/>
      </c>
      <c r="D61" s="6">
        <f>'01_גולמי_בנק'!D58</f>
        <v/>
      </c>
      <c r="E61" s="15" t="n"/>
      <c r="F61" s="16" t="n"/>
      <c r="G61" s="17" t="n"/>
      <c r="H61" s="17" t="n"/>
      <c r="I61" s="17" t="n"/>
    </row>
    <row r="62">
      <c r="A62" s="6">
        <f>'01_גולמי_בנק'!A59</f>
        <v/>
      </c>
      <c r="B62" s="6">
        <f>'01_גולמי_בנק'!B59</f>
        <v/>
      </c>
      <c r="C62" s="6">
        <f>'01_גולמי_בנק'!C59</f>
        <v/>
      </c>
      <c r="D62" s="6">
        <f>'01_גולמי_בנק'!D59</f>
        <v/>
      </c>
      <c r="E62" s="15" t="n"/>
      <c r="F62" s="16" t="n"/>
      <c r="G62" s="17" t="n"/>
      <c r="H62" s="17" t="n"/>
      <c r="I62" s="17" t="n"/>
    </row>
    <row r="63">
      <c r="A63" s="6">
        <f>'01_גולמי_בנק'!A60</f>
        <v/>
      </c>
      <c r="B63" s="6">
        <f>'01_גולמי_בנק'!B60</f>
        <v/>
      </c>
      <c r="C63" s="6">
        <f>'01_גולמי_בנק'!C60</f>
        <v/>
      </c>
      <c r="D63" s="6">
        <f>'01_גולמי_בנק'!D60</f>
        <v/>
      </c>
      <c r="E63" s="15" t="n"/>
      <c r="F63" s="16" t="n"/>
      <c r="G63" s="17" t="n"/>
      <c r="H63" s="17" t="n"/>
      <c r="I63" s="17" t="n"/>
    </row>
    <row r="64">
      <c r="A64" s="6">
        <f>'01_גולמי_בנק'!A61</f>
        <v/>
      </c>
      <c r="B64" s="6">
        <f>'01_גולמי_בנק'!B61</f>
        <v/>
      </c>
      <c r="C64" s="6">
        <f>'01_גולמי_בנק'!C61</f>
        <v/>
      </c>
      <c r="D64" s="6">
        <f>'01_גולמי_בנק'!D61</f>
        <v/>
      </c>
      <c r="E64" s="15" t="n"/>
      <c r="F64" s="16" t="n"/>
      <c r="G64" s="17" t="n"/>
      <c r="H64" s="17" t="n"/>
      <c r="I64" s="17" t="n"/>
    </row>
    <row r="65">
      <c r="A65" s="6">
        <f>'01_גולמי_בנק'!A62</f>
        <v/>
      </c>
      <c r="B65" s="6">
        <f>'01_גולמי_בנק'!B62</f>
        <v/>
      </c>
      <c r="C65" s="6">
        <f>'01_גולמי_בנק'!C62</f>
        <v/>
      </c>
      <c r="D65" s="6">
        <f>'01_גולמי_בנק'!D62</f>
        <v/>
      </c>
      <c r="E65" s="15" t="n"/>
      <c r="F65" s="16" t="n"/>
      <c r="G65" s="17" t="n"/>
      <c r="H65" s="17" t="n"/>
      <c r="I65" s="17" t="n"/>
    </row>
    <row r="66">
      <c r="A66" s="6">
        <f>'01_גולמי_בנק'!A63</f>
        <v/>
      </c>
      <c r="B66" s="6">
        <f>'01_גולמי_בנק'!B63</f>
        <v/>
      </c>
      <c r="C66" s="6">
        <f>'01_גולמי_בנק'!C63</f>
        <v/>
      </c>
      <c r="D66" s="6">
        <f>'01_גולמי_בנק'!D63</f>
        <v/>
      </c>
      <c r="E66" s="15" t="n"/>
      <c r="F66" s="16" t="n"/>
      <c r="G66" s="17" t="n"/>
      <c r="H66" s="17" t="n"/>
      <c r="I66" s="17" t="n"/>
    </row>
    <row r="67">
      <c r="A67" s="6">
        <f>'01_גולמי_בנק'!A64</f>
        <v/>
      </c>
      <c r="B67" s="6">
        <f>'01_גולמי_בנק'!B64</f>
        <v/>
      </c>
      <c r="C67" s="6">
        <f>'01_גולמי_בנק'!C64</f>
        <v/>
      </c>
      <c r="D67" s="6">
        <f>'01_גולמי_בנק'!D64</f>
        <v/>
      </c>
      <c r="E67" s="15" t="n"/>
      <c r="F67" s="16" t="n"/>
      <c r="G67" s="17" t="n"/>
      <c r="H67" s="17" t="n"/>
      <c r="I67" s="17" t="n"/>
    </row>
    <row r="68">
      <c r="A68" s="6">
        <f>'01_גולמי_בנק'!A65</f>
        <v/>
      </c>
      <c r="B68" s="6">
        <f>'01_גולמי_בנק'!B65</f>
        <v/>
      </c>
      <c r="C68" s="6">
        <f>'01_גולמי_בנק'!C65</f>
        <v/>
      </c>
      <c r="D68" s="6">
        <f>'01_גולמי_בנק'!D65</f>
        <v/>
      </c>
      <c r="E68" s="15" t="n"/>
      <c r="F68" s="16" t="n"/>
      <c r="G68" s="17" t="n"/>
      <c r="H68" s="17" t="n"/>
      <c r="I68" s="17" t="n"/>
    </row>
    <row r="69">
      <c r="A69" s="6">
        <f>'01_גולמי_בנק'!A66</f>
        <v/>
      </c>
      <c r="B69" s="6">
        <f>'01_גולמי_בנק'!B66</f>
        <v/>
      </c>
      <c r="C69" s="6">
        <f>'01_גולמי_בנק'!C66</f>
        <v/>
      </c>
      <c r="D69" s="6">
        <f>'01_גולמי_בנק'!D66</f>
        <v/>
      </c>
      <c r="E69" s="15" t="n"/>
      <c r="F69" s="16" t="n"/>
      <c r="G69" s="17" t="n"/>
      <c r="H69" s="17" t="n"/>
      <c r="I69" s="17" t="n"/>
    </row>
    <row r="70">
      <c r="A70" s="6">
        <f>'01_גולמי_בנק'!A67</f>
        <v/>
      </c>
      <c r="B70" s="6">
        <f>'01_גולמי_בנק'!B67</f>
        <v/>
      </c>
      <c r="C70" s="6">
        <f>'01_גולמי_בנק'!C67</f>
        <v/>
      </c>
      <c r="D70" s="6">
        <f>'01_גולמי_בנק'!D67</f>
        <v/>
      </c>
      <c r="E70" s="15" t="n"/>
      <c r="F70" s="16" t="n"/>
      <c r="G70" s="17" t="n"/>
      <c r="H70" s="17" t="n"/>
      <c r="I70" s="17" t="n"/>
    </row>
    <row r="71">
      <c r="A71" s="6">
        <f>'01_גולמי_בנק'!A68</f>
        <v/>
      </c>
      <c r="B71" s="6">
        <f>'01_גולמי_בנק'!B68</f>
        <v/>
      </c>
      <c r="C71" s="6">
        <f>'01_גולמי_בנק'!C68</f>
        <v/>
      </c>
      <c r="D71" s="6">
        <f>'01_גולמי_בנק'!D68</f>
        <v/>
      </c>
      <c r="E71" s="15" t="n"/>
      <c r="F71" s="16" t="n"/>
      <c r="G71" s="17" t="n"/>
      <c r="H71" s="17" t="n"/>
      <c r="I71" s="17" t="n"/>
    </row>
    <row r="72">
      <c r="A72" s="6">
        <f>'01_גולמי_בנק'!A69</f>
        <v/>
      </c>
      <c r="B72" s="6">
        <f>'01_גולמי_בנק'!B69</f>
        <v/>
      </c>
      <c r="C72" s="6">
        <f>'01_גולמי_בנק'!C69</f>
        <v/>
      </c>
      <c r="D72" s="6">
        <f>'01_גולמי_בנק'!D69</f>
        <v/>
      </c>
      <c r="E72" s="15" t="n"/>
      <c r="F72" s="16" t="n"/>
      <c r="G72" s="17" t="n"/>
      <c r="H72" s="17" t="n"/>
      <c r="I72" s="17" t="n"/>
    </row>
    <row r="73">
      <c r="A73" s="6">
        <f>'01_גולמי_בנק'!A70</f>
        <v/>
      </c>
      <c r="B73" s="6">
        <f>'01_גולמי_בנק'!B70</f>
        <v/>
      </c>
      <c r="C73" s="6">
        <f>'01_גולמי_בנק'!C70</f>
        <v/>
      </c>
      <c r="D73" s="6">
        <f>'01_גולמי_בנק'!D70</f>
        <v/>
      </c>
      <c r="E73" s="15" t="n"/>
      <c r="F73" s="16" t="n"/>
      <c r="G73" s="17" t="n"/>
      <c r="H73" s="17" t="n"/>
      <c r="I73" s="17" t="n"/>
    </row>
    <row r="74">
      <c r="A74" s="6">
        <f>'01_גולמי_בנק'!A71</f>
        <v/>
      </c>
      <c r="B74" s="6">
        <f>'01_גולמי_בנק'!B71</f>
        <v/>
      </c>
      <c r="C74" s="6">
        <f>'01_גולמי_בנק'!C71</f>
        <v/>
      </c>
      <c r="D74" s="6">
        <f>'01_גולמי_בנק'!D71</f>
        <v/>
      </c>
      <c r="E74" s="15" t="n"/>
      <c r="F74" s="16" t="n"/>
      <c r="G74" s="17" t="n"/>
      <c r="H74" s="17" t="n"/>
      <c r="I74" s="17" t="n"/>
    </row>
    <row r="75">
      <c r="A75" s="6">
        <f>'01_גולמי_בנק'!A72</f>
        <v/>
      </c>
      <c r="B75" s="6">
        <f>'01_גולמי_בנק'!B72</f>
        <v/>
      </c>
      <c r="C75" s="6">
        <f>'01_גולמי_בנק'!C72</f>
        <v/>
      </c>
      <c r="D75" s="6">
        <f>'01_גולמי_בנק'!D72</f>
        <v/>
      </c>
      <c r="E75" s="15" t="n"/>
      <c r="F75" s="16" t="n"/>
      <c r="G75" s="17" t="n"/>
      <c r="H75" s="17" t="n"/>
      <c r="I75" s="17" t="n"/>
    </row>
    <row r="76">
      <c r="A76" s="6">
        <f>'01_גולמי_בנק'!A73</f>
        <v/>
      </c>
      <c r="B76" s="6">
        <f>'01_גולמי_בנק'!B73</f>
        <v/>
      </c>
      <c r="C76" s="6">
        <f>'01_גולמי_בנק'!C73</f>
        <v/>
      </c>
      <c r="D76" s="6">
        <f>'01_גולמי_בנק'!D73</f>
        <v/>
      </c>
      <c r="E76" s="15" t="n"/>
      <c r="F76" s="16" t="n"/>
      <c r="G76" s="17" t="n"/>
      <c r="H76" s="17" t="n"/>
      <c r="I76" s="17" t="n"/>
    </row>
    <row r="77">
      <c r="A77" s="6">
        <f>'01_גולמי_בנק'!A74</f>
        <v/>
      </c>
      <c r="B77" s="6">
        <f>'01_גולמי_בנק'!B74</f>
        <v/>
      </c>
      <c r="C77" s="6">
        <f>'01_גולמי_בנק'!C74</f>
        <v/>
      </c>
      <c r="D77" s="6">
        <f>'01_גולמי_בנק'!D74</f>
        <v/>
      </c>
      <c r="E77" s="15" t="n"/>
      <c r="F77" s="16" t="n"/>
      <c r="G77" s="17" t="n"/>
      <c r="H77" s="17" t="n"/>
      <c r="I77" s="17" t="n"/>
    </row>
    <row r="78">
      <c r="A78" s="6">
        <f>'01_גולמי_בנק'!A75</f>
        <v/>
      </c>
      <c r="B78" s="6">
        <f>'01_גולמי_בנק'!B75</f>
        <v/>
      </c>
      <c r="C78" s="6">
        <f>'01_גולמי_בנק'!C75</f>
        <v/>
      </c>
      <c r="D78" s="6">
        <f>'01_גולמי_בנק'!D75</f>
        <v/>
      </c>
      <c r="E78" s="15" t="n"/>
      <c r="F78" s="16" t="n"/>
      <c r="G78" s="17" t="n"/>
      <c r="H78" s="17" t="n"/>
      <c r="I78" s="17" t="n"/>
    </row>
    <row r="79">
      <c r="A79" s="6">
        <f>'01_גולמי_בנק'!A76</f>
        <v/>
      </c>
      <c r="B79" s="6">
        <f>'01_גולמי_בנק'!B76</f>
        <v/>
      </c>
      <c r="C79" s="6">
        <f>'01_גולמי_בנק'!C76</f>
        <v/>
      </c>
      <c r="D79" s="6">
        <f>'01_גולמי_בנק'!D76</f>
        <v/>
      </c>
      <c r="E79" s="15" t="n"/>
      <c r="F79" s="16" t="n"/>
      <c r="G79" s="17" t="n"/>
      <c r="H79" s="17" t="n"/>
      <c r="I79" s="17" t="n"/>
    </row>
    <row r="80">
      <c r="A80" s="6">
        <f>'01_גולמי_בנק'!A77</f>
        <v/>
      </c>
      <c r="B80" s="6">
        <f>'01_גולמי_בנק'!B77</f>
        <v/>
      </c>
      <c r="C80" s="6">
        <f>'01_גולמי_בנק'!C77</f>
        <v/>
      </c>
      <c r="D80" s="6">
        <f>'01_גולמי_בנק'!D77</f>
        <v/>
      </c>
      <c r="E80" s="15" t="n"/>
      <c r="F80" s="16" t="n"/>
      <c r="G80" s="17" t="n"/>
      <c r="H80" s="17" t="n"/>
      <c r="I80" s="17" t="n"/>
    </row>
    <row r="81">
      <c r="A81" s="6">
        <f>'01_גולמי_בנק'!A78</f>
        <v/>
      </c>
      <c r="B81" s="6">
        <f>'01_גולמי_בנק'!B78</f>
        <v/>
      </c>
      <c r="C81" s="6">
        <f>'01_גולמי_בנק'!C78</f>
        <v/>
      </c>
      <c r="D81" s="6">
        <f>'01_גולמי_בנק'!D78</f>
        <v/>
      </c>
      <c r="E81" s="15" t="n"/>
      <c r="F81" s="16" t="n"/>
      <c r="G81" s="17" t="n"/>
      <c r="H81" s="17" t="n"/>
      <c r="I81" s="17" t="n"/>
    </row>
    <row r="82">
      <c r="A82" s="6">
        <f>'01_גולמי_בנק'!A79</f>
        <v/>
      </c>
      <c r="B82" s="6">
        <f>'01_גולמי_בנק'!B79</f>
        <v/>
      </c>
      <c r="C82" s="6">
        <f>'01_גולמי_בנק'!C79</f>
        <v/>
      </c>
      <c r="D82" s="6">
        <f>'01_גולמי_בנק'!D79</f>
        <v/>
      </c>
      <c r="E82" s="15" t="n"/>
      <c r="F82" s="16" t="n"/>
      <c r="G82" s="17" t="n"/>
      <c r="H82" s="17" t="n"/>
      <c r="I82" s="17" t="n"/>
    </row>
    <row r="83">
      <c r="A83" s="6">
        <f>'01_גולמי_בנק'!A80</f>
        <v/>
      </c>
      <c r="B83" s="6">
        <f>'01_גולמי_בנק'!B80</f>
        <v/>
      </c>
      <c r="C83" s="6">
        <f>'01_גולמי_בנק'!C80</f>
        <v/>
      </c>
      <c r="D83" s="6">
        <f>'01_גולמי_בנק'!D80</f>
        <v/>
      </c>
      <c r="E83" s="15" t="n"/>
      <c r="F83" s="16" t="n"/>
      <c r="G83" s="17" t="n"/>
      <c r="H83" s="17" t="n"/>
      <c r="I83" s="17" t="n"/>
    </row>
    <row r="84">
      <c r="A84" s="6">
        <f>'01_גולמי_בנק'!A81</f>
        <v/>
      </c>
      <c r="B84" s="6">
        <f>'01_גולמי_בנק'!B81</f>
        <v/>
      </c>
      <c r="C84" s="6">
        <f>'01_גולמי_בנק'!C81</f>
        <v/>
      </c>
      <c r="D84" s="6">
        <f>'01_גולמי_בנק'!D81</f>
        <v/>
      </c>
      <c r="E84" s="15" t="n"/>
      <c r="F84" s="16" t="n"/>
      <c r="G84" s="17" t="n"/>
      <c r="H84" s="17" t="n"/>
      <c r="I84" s="17" t="n"/>
    </row>
    <row r="85">
      <c r="A85" s="6">
        <f>'01_גולמי_בנק'!A82</f>
        <v/>
      </c>
      <c r="B85" s="6">
        <f>'01_גולמי_בנק'!B82</f>
        <v/>
      </c>
      <c r="C85" s="6">
        <f>'01_גולמי_בנק'!C82</f>
        <v/>
      </c>
      <c r="D85" s="6">
        <f>'01_גולמי_בנק'!D82</f>
        <v/>
      </c>
      <c r="E85" s="15" t="n"/>
      <c r="F85" s="16" t="n"/>
      <c r="G85" s="17" t="n"/>
      <c r="H85" s="17" t="n"/>
      <c r="I85" s="17" t="n"/>
    </row>
    <row r="86">
      <c r="A86" s="6">
        <f>'01_גולמי_בנק'!A83</f>
        <v/>
      </c>
      <c r="B86" s="6">
        <f>'01_גולמי_בנק'!B83</f>
        <v/>
      </c>
      <c r="C86" s="6">
        <f>'01_גולמי_בנק'!C83</f>
        <v/>
      </c>
      <c r="D86" s="6">
        <f>'01_גולמי_בנק'!D83</f>
        <v/>
      </c>
      <c r="E86" s="15" t="n"/>
      <c r="F86" s="16" t="n"/>
      <c r="G86" s="17" t="n"/>
      <c r="H86" s="17" t="n"/>
      <c r="I86" s="17" t="n"/>
    </row>
    <row r="87">
      <c r="A87" s="6">
        <f>'01_גולמי_בנק'!A84</f>
        <v/>
      </c>
      <c r="B87" s="6">
        <f>'01_גולמי_בנק'!B84</f>
        <v/>
      </c>
      <c r="C87" s="6">
        <f>'01_גולמי_בנק'!C84</f>
        <v/>
      </c>
      <c r="D87" s="6">
        <f>'01_גולמי_בנק'!D84</f>
        <v/>
      </c>
      <c r="E87" s="15" t="n"/>
      <c r="F87" s="16" t="n"/>
      <c r="G87" s="17" t="n"/>
      <c r="H87" s="17" t="n"/>
      <c r="I87" s="17" t="n"/>
    </row>
    <row r="88">
      <c r="A88" s="6">
        <f>'01_גולמי_בנק'!A85</f>
        <v/>
      </c>
      <c r="B88" s="6">
        <f>'01_גולמי_בנק'!B85</f>
        <v/>
      </c>
      <c r="C88" s="6">
        <f>'01_גולמי_בנק'!C85</f>
        <v/>
      </c>
      <c r="D88" s="6">
        <f>'01_גולמי_בנק'!D85</f>
        <v/>
      </c>
      <c r="E88" s="15" t="n"/>
      <c r="F88" s="16" t="n"/>
      <c r="G88" s="17" t="n"/>
      <c r="H88" s="17" t="n"/>
      <c r="I88" s="17" t="n"/>
    </row>
    <row r="89">
      <c r="A89" s="6">
        <f>'01_גולמי_בנק'!A86</f>
        <v/>
      </c>
      <c r="B89" s="6">
        <f>'01_גולמי_בנק'!B86</f>
        <v/>
      </c>
      <c r="C89" s="6">
        <f>'01_גולמי_בנק'!C86</f>
        <v/>
      </c>
      <c r="D89" s="6">
        <f>'01_גולמי_בנק'!D86</f>
        <v/>
      </c>
      <c r="E89" s="15" t="n"/>
      <c r="F89" s="16" t="n"/>
      <c r="G89" s="17" t="n"/>
      <c r="H89" s="17" t="n"/>
      <c r="I89" s="17" t="n"/>
    </row>
    <row r="90">
      <c r="A90" s="6">
        <f>'01_גולמי_בנק'!A87</f>
        <v/>
      </c>
      <c r="B90" s="6">
        <f>'01_גולמי_בנק'!B87</f>
        <v/>
      </c>
      <c r="C90" s="6">
        <f>'01_גולמי_בנק'!C87</f>
        <v/>
      </c>
      <c r="D90" s="6">
        <f>'01_גולמי_בנק'!D87</f>
        <v/>
      </c>
      <c r="E90" s="15" t="n"/>
      <c r="F90" s="16" t="n"/>
      <c r="G90" s="17" t="n"/>
      <c r="H90" s="17" t="n"/>
      <c r="I90" s="17" t="n"/>
    </row>
    <row r="91">
      <c r="A91" s="6">
        <f>'01_גולמי_בנק'!A88</f>
        <v/>
      </c>
      <c r="B91" s="6">
        <f>'01_גולמי_בנק'!B88</f>
        <v/>
      </c>
      <c r="C91" s="6">
        <f>'01_גולמי_בנק'!C88</f>
        <v/>
      </c>
      <c r="D91" s="6">
        <f>'01_גולמי_בנק'!D88</f>
        <v/>
      </c>
      <c r="E91" s="15" t="n"/>
      <c r="F91" s="16" t="n"/>
      <c r="G91" s="17" t="n"/>
      <c r="H91" s="17" t="n"/>
      <c r="I91" s="17" t="n"/>
    </row>
    <row r="92">
      <c r="A92" s="6">
        <f>'01_גולמי_בנק'!A89</f>
        <v/>
      </c>
      <c r="B92" s="6">
        <f>'01_גולמי_בנק'!B89</f>
        <v/>
      </c>
      <c r="C92" s="6">
        <f>'01_גולמי_בנק'!C89</f>
        <v/>
      </c>
      <c r="D92" s="6">
        <f>'01_גולמי_בנק'!D89</f>
        <v/>
      </c>
      <c r="E92" s="15" t="n"/>
      <c r="F92" s="16" t="n"/>
      <c r="G92" s="17" t="n"/>
      <c r="H92" s="17" t="n"/>
      <c r="I92" s="17" t="n"/>
    </row>
    <row r="93">
      <c r="A93" s="6">
        <f>'01_גולמי_בנק'!A90</f>
        <v/>
      </c>
      <c r="B93" s="6">
        <f>'01_גולמי_בנק'!B90</f>
        <v/>
      </c>
      <c r="C93" s="6">
        <f>'01_גולמי_בנק'!C90</f>
        <v/>
      </c>
      <c r="D93" s="6">
        <f>'01_גולמי_בנק'!D90</f>
        <v/>
      </c>
      <c r="E93" s="15" t="n"/>
      <c r="F93" s="16" t="n"/>
      <c r="G93" s="17" t="n"/>
      <c r="H93" s="17" t="n"/>
      <c r="I93" s="17" t="n"/>
    </row>
    <row r="94">
      <c r="A94" s="6">
        <f>'01_גולמי_בנק'!A91</f>
        <v/>
      </c>
      <c r="B94" s="6">
        <f>'01_גולמי_בנק'!B91</f>
        <v/>
      </c>
      <c r="C94" s="6">
        <f>'01_גולמי_בנק'!C91</f>
        <v/>
      </c>
      <c r="D94" s="6">
        <f>'01_גולמי_בנק'!D91</f>
        <v/>
      </c>
      <c r="E94" s="15" t="n"/>
      <c r="F94" s="16" t="n"/>
      <c r="G94" s="17" t="n"/>
      <c r="H94" s="17" t="n"/>
      <c r="I94" s="17" t="n"/>
    </row>
    <row r="95">
      <c r="A95" s="6">
        <f>'01_גולמי_בנק'!A92</f>
        <v/>
      </c>
      <c r="B95" s="6">
        <f>'01_גולמי_בנק'!B92</f>
        <v/>
      </c>
      <c r="C95" s="6">
        <f>'01_גולמי_בנק'!C92</f>
        <v/>
      </c>
      <c r="D95" s="6">
        <f>'01_גולמי_בנק'!D92</f>
        <v/>
      </c>
      <c r="E95" s="15" t="n"/>
      <c r="F95" s="16" t="n"/>
      <c r="G95" s="17" t="n"/>
      <c r="H95" s="17" t="n"/>
      <c r="I95" s="17" t="n"/>
    </row>
    <row r="96">
      <c r="A96" s="6">
        <f>'01_גולמי_בנק'!A93</f>
        <v/>
      </c>
      <c r="B96" s="6">
        <f>'01_גולמי_בנק'!B93</f>
        <v/>
      </c>
      <c r="C96" s="6">
        <f>'01_גולמי_בנק'!C93</f>
        <v/>
      </c>
      <c r="D96" s="6">
        <f>'01_גולמי_בנק'!D93</f>
        <v/>
      </c>
      <c r="E96" s="15" t="n"/>
      <c r="F96" s="16" t="n"/>
      <c r="G96" s="17" t="n"/>
      <c r="H96" s="17" t="n"/>
      <c r="I96" s="17" t="n"/>
    </row>
    <row r="97">
      <c r="A97" s="6">
        <f>'01_גולמי_בנק'!A94</f>
        <v/>
      </c>
      <c r="B97" s="6">
        <f>'01_גולמי_בנק'!B94</f>
        <v/>
      </c>
      <c r="C97" s="6">
        <f>'01_גולמי_בנק'!C94</f>
        <v/>
      </c>
      <c r="D97" s="6">
        <f>'01_גולמי_בנק'!D94</f>
        <v/>
      </c>
      <c r="E97" s="15" t="n"/>
      <c r="F97" s="16" t="n"/>
      <c r="G97" s="17" t="n"/>
      <c r="H97" s="17" t="n"/>
      <c r="I97" s="17" t="n"/>
    </row>
    <row r="98">
      <c r="A98" s="6">
        <f>'01_גולמי_בנק'!A95</f>
        <v/>
      </c>
      <c r="B98" s="6">
        <f>'01_גולמי_בנק'!B95</f>
        <v/>
      </c>
      <c r="C98" s="6">
        <f>'01_גולמי_בנק'!C95</f>
        <v/>
      </c>
      <c r="D98" s="6">
        <f>'01_גולמי_בנק'!D95</f>
        <v/>
      </c>
      <c r="E98" s="15" t="n"/>
      <c r="F98" s="16" t="n"/>
      <c r="G98" s="17" t="n"/>
      <c r="H98" s="17" t="n"/>
      <c r="I98" s="17" t="n"/>
    </row>
    <row r="99">
      <c r="A99" s="6">
        <f>'01_גולמי_בנק'!A96</f>
        <v/>
      </c>
      <c r="B99" s="6">
        <f>'01_גולמי_בנק'!B96</f>
        <v/>
      </c>
      <c r="C99" s="6">
        <f>'01_גולמי_בנק'!C96</f>
        <v/>
      </c>
      <c r="D99" s="6">
        <f>'01_גולמי_בנק'!D96</f>
        <v/>
      </c>
      <c r="E99" s="15" t="n"/>
      <c r="F99" s="16" t="n"/>
      <c r="G99" s="17" t="n"/>
      <c r="H99" s="17" t="n"/>
      <c r="I99" s="17" t="n"/>
    </row>
    <row r="100">
      <c r="A100" s="6">
        <f>'01_גולמי_בנק'!A97</f>
        <v/>
      </c>
      <c r="B100" s="6">
        <f>'01_גולמי_בנק'!B97</f>
        <v/>
      </c>
      <c r="C100" s="6">
        <f>'01_גולמי_בנק'!C97</f>
        <v/>
      </c>
      <c r="D100" s="6">
        <f>'01_גולמי_בנק'!D97</f>
        <v/>
      </c>
      <c r="E100" s="15" t="n"/>
      <c r="F100" s="16" t="n"/>
      <c r="G100" s="17" t="n"/>
      <c r="H100" s="17" t="n"/>
      <c r="I100" s="17" t="n"/>
    </row>
    <row r="101">
      <c r="A101" s="6">
        <f>'01_גולמי_בנק'!A98</f>
        <v/>
      </c>
      <c r="B101" s="6">
        <f>'01_גולמי_בנק'!B98</f>
        <v/>
      </c>
      <c r="C101" s="6">
        <f>'01_גולמי_בנק'!C98</f>
        <v/>
      </c>
      <c r="D101" s="6">
        <f>'01_גולמי_בנק'!D98</f>
        <v/>
      </c>
      <c r="E101" s="15" t="n"/>
      <c r="F101" s="16" t="n"/>
      <c r="G101" s="17" t="n"/>
      <c r="H101" s="17" t="n"/>
      <c r="I101" s="17" t="n"/>
    </row>
    <row r="102">
      <c r="A102" s="6">
        <f>'01_גולמי_בנק'!A99</f>
        <v/>
      </c>
      <c r="B102" s="6">
        <f>'01_גולמי_בנק'!B99</f>
        <v/>
      </c>
      <c r="C102" s="6">
        <f>'01_גולמי_בנק'!C99</f>
        <v/>
      </c>
      <c r="D102" s="6">
        <f>'01_גולמי_בנק'!D99</f>
        <v/>
      </c>
      <c r="E102" s="15" t="n"/>
      <c r="F102" s="16" t="n"/>
      <c r="G102" s="17" t="n"/>
      <c r="H102" s="17" t="n"/>
      <c r="I102" s="17" t="n"/>
    </row>
    <row r="103">
      <c r="A103" s="6">
        <f>'01_גולמי_בנק'!A100</f>
        <v/>
      </c>
      <c r="B103" s="6">
        <f>'01_גולמי_בנק'!B100</f>
        <v/>
      </c>
      <c r="C103" s="6">
        <f>'01_גולמי_בנק'!C100</f>
        <v/>
      </c>
      <c r="D103" s="6">
        <f>'01_גולמי_בנק'!D100</f>
        <v/>
      </c>
      <c r="E103" s="15" t="n"/>
      <c r="F103" s="16" t="n"/>
      <c r="G103" s="17" t="n"/>
      <c r="H103" s="17" t="n"/>
      <c r="I103" s="17" t="n"/>
    </row>
    <row r="104">
      <c r="A104" s="6">
        <f>'01_גולמי_בנק'!A101</f>
        <v/>
      </c>
      <c r="B104" s="6">
        <f>'01_גולמי_בנק'!B101</f>
        <v/>
      </c>
      <c r="C104" s="6">
        <f>'01_גולמי_בנק'!C101</f>
        <v/>
      </c>
      <c r="D104" s="6">
        <f>'01_גולמי_בנק'!D101</f>
        <v/>
      </c>
      <c r="E104" s="15" t="n"/>
      <c r="F104" s="16" t="n"/>
      <c r="G104" s="17" t="n"/>
      <c r="H104" s="17" t="n"/>
      <c r="I104" s="17" t="n"/>
    </row>
    <row r="105">
      <c r="A105" s="6">
        <f>'01_גולמי_בנק'!A102</f>
        <v/>
      </c>
      <c r="B105" s="6">
        <f>'01_גולמי_בנק'!B102</f>
        <v/>
      </c>
      <c r="C105" s="6">
        <f>'01_גולמי_בנק'!C102</f>
        <v/>
      </c>
      <c r="D105" s="6">
        <f>'01_גולמי_בנק'!D102</f>
        <v/>
      </c>
      <c r="E105" s="15" t="n"/>
      <c r="F105" s="16" t="n"/>
      <c r="G105" s="17" t="n"/>
      <c r="H105" s="17" t="n"/>
      <c r="I105" s="17" t="n"/>
    </row>
    <row r="106">
      <c r="A106" s="6">
        <f>'01_גולמי_בנק'!A103</f>
        <v/>
      </c>
      <c r="B106" s="6">
        <f>'01_גולמי_בנק'!B103</f>
        <v/>
      </c>
      <c r="C106" s="6">
        <f>'01_גולמי_בנק'!C103</f>
        <v/>
      </c>
      <c r="D106" s="6">
        <f>'01_גולמי_בנק'!D103</f>
        <v/>
      </c>
      <c r="E106" s="15" t="n"/>
      <c r="F106" s="16" t="n"/>
      <c r="G106" s="17" t="n"/>
      <c r="H106" s="17" t="n"/>
      <c r="I106" s="17" t="n"/>
    </row>
    <row r="107">
      <c r="A107" s="6">
        <f>'01_גולמי_בנק'!A104</f>
        <v/>
      </c>
      <c r="B107" s="6">
        <f>'01_גולמי_בנק'!B104</f>
        <v/>
      </c>
      <c r="C107" s="6">
        <f>'01_גולמי_בנק'!C104</f>
        <v/>
      </c>
      <c r="D107" s="6">
        <f>'01_גולמי_בנק'!D104</f>
        <v/>
      </c>
      <c r="E107" s="15" t="n"/>
      <c r="F107" s="16" t="n"/>
      <c r="G107" s="17" t="n"/>
      <c r="H107" s="17" t="n"/>
      <c r="I107" s="17" t="n"/>
    </row>
    <row r="108">
      <c r="A108" s="6">
        <f>'01_גולמי_בנק'!A105</f>
        <v/>
      </c>
      <c r="B108" s="6">
        <f>'01_גולמי_בנק'!B105</f>
        <v/>
      </c>
      <c r="C108" s="6">
        <f>'01_גולמי_בנק'!C105</f>
        <v/>
      </c>
      <c r="D108" s="6">
        <f>'01_גולמי_בנק'!D105</f>
        <v/>
      </c>
      <c r="E108" s="15" t="n"/>
      <c r="F108" s="16" t="n"/>
      <c r="G108" s="17" t="n"/>
      <c r="H108" s="17" t="n"/>
      <c r="I108" s="17" t="n"/>
    </row>
    <row r="111">
      <c r="A111" s="18" t="inlineStr">
        <is>
          <t>בקרת איכות הניקוי</t>
        </is>
      </c>
    </row>
    <row r="112">
      <c r="A112" s="3" t="inlineStr">
        <is>
          <t>שורות שנקלטו</t>
        </is>
      </c>
      <c r="B112" s="19" t="n"/>
    </row>
    <row r="113">
      <c r="A113" s="3" t="inlineStr">
        <is>
          <t>שורות שלא סווגו</t>
        </is>
      </c>
      <c r="B113" s="19" t="n"/>
    </row>
    <row r="114">
      <c r="A114" s="3" t="inlineStr">
        <is>
          <t>שורות שסומנו ככפילות</t>
        </is>
      </c>
      <c r="B114" s="19" t="n"/>
    </row>
    <row r="115">
      <c r="A115" s="3" t="inlineStr">
        <is>
          <t>סה"כ תקבולים בקובץ (ללא כפילויות)</t>
        </is>
      </c>
      <c r="B115" s="16" t="n"/>
    </row>
    <row r="116">
      <c r="A116" s="3" t="inlineStr">
        <is>
          <t>סה"כ תשלומים בקובץ (ללא כפילויות)</t>
        </is>
      </c>
      <c r="B116" s="16" t="n"/>
    </row>
    <row r="117">
      <c r="A117" s="3" t="inlineStr">
        <is>
          <t>סה"כ תשלומי מס בתקופה</t>
        </is>
      </c>
      <c r="B117" s="16" t="n"/>
    </row>
    <row r="118">
      <c r="A118" s="3" t="inlineStr">
        <is>
          <t>סה"כ משיכות בעלים ← דגל 3(ט1)</t>
        </is>
      </c>
      <c r="B118" s="16" t="n"/>
    </row>
    <row r="120">
      <c r="A120" s="14" t="inlineStr">
        <is>
          <t>הקובץ הוא מדגם תנועות בנק לחצי שנה לצורך תרגול ניקוי, ולא דוח תזרים מלא. קשר לפרקטיקה: השורה האחרונה היא הדגל האדום. משיכות בעלים שמצטברות בבנק הן בדיוק מה שהופך לחיוב לפי סעיף 3(ט1) בסוף השנה שאחרי. מי שרואה את זה ביוני, יכול לתקן. מי שרואה את זה במרץ הבא, משלם מס.</t>
        </is>
      </c>
    </row>
  </sheetData>
  <mergeCells count="6">
    <mergeCell ref="A2:I2"/>
    <mergeCell ref="A5:I5"/>
    <mergeCell ref="A1:I1"/>
    <mergeCell ref="A3:I3"/>
    <mergeCell ref="A6:I6"/>
    <mergeCell ref="A4:I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72"/>
  <sheetViews>
    <sheetView rightToLeft="1" workbookViewId="0">
      <pane ySplit="4" topLeftCell="A5" activePane="bottomLeft" state="frozen"/>
      <selection pane="bottomLeft" activeCell="A1" sqref="A1"/>
    </sheetView>
  </sheetViews>
  <sheetFormatPr baseColWidth="8" defaultRowHeight="15"/>
  <cols>
    <col width="12" customWidth="1" min="1" max="1"/>
    <col width="10" customWidth="1" min="2" max="2"/>
    <col width="16" customWidth="1" min="3" max="3"/>
    <col width="14" customWidth="1" min="4" max="4"/>
    <col width="20" customWidth="1" min="5" max="5"/>
    <col width="14" customWidth="1" min="6" max="6"/>
  </cols>
  <sheetData>
    <row r="1" ht="34" customHeight="1">
      <c r="A1" s="1" t="inlineStr">
        <is>
          <t>התקציב המאושר · 2026</t>
        </is>
      </c>
    </row>
    <row r="2" ht="20" customHeight="1">
      <c r="A2" s="2" t="inlineStr">
        <is>
          <t>נתון קיים. התקציב אושר בדצמבר 2025 ולא עודכן מאז — בדיוק הבעיה שמעבדה 5 פותרת.</t>
        </is>
      </c>
    </row>
    <row r="4" ht="30" customHeight="1">
      <c r="A4" s="8" t="inlineStr">
        <is>
          <t>חודש</t>
        </is>
      </c>
      <c r="B4" s="8" t="inlineStr">
        <is>
          <t>חודש_מספר</t>
        </is>
      </c>
      <c r="C4" s="8" t="inlineStr">
        <is>
          <t>מחלקה</t>
        </is>
      </c>
      <c r="D4" s="8" t="inlineStr">
        <is>
          <t>קבוצה</t>
        </is>
      </c>
      <c r="E4" s="8" t="inlineStr">
        <is>
          <t>סעיף</t>
        </is>
      </c>
      <c r="F4" s="8" t="inlineStr">
        <is>
          <t>תקציב</t>
        </is>
      </c>
    </row>
    <row r="5">
      <c r="A5" s="11" t="inlineStr">
        <is>
          <t>ינואר</t>
        </is>
      </c>
      <c r="B5" s="11" t="n">
        <v>1</v>
      </c>
      <c r="C5" s="11" t="inlineStr">
        <is>
          <t>מכירות ישירות</t>
        </is>
      </c>
      <c r="D5" s="11" t="inlineStr">
        <is>
          <t>הכנסות</t>
        </is>
      </c>
      <c r="E5" s="11" t="inlineStr">
        <is>
          <t>הכנסות ממכירות</t>
        </is>
      </c>
      <c r="F5" s="12" t="n">
        <v>491040</v>
      </c>
    </row>
    <row r="6">
      <c r="A6" s="11" t="inlineStr">
        <is>
          <t>ינואר</t>
        </is>
      </c>
      <c r="B6" s="11" t="n">
        <v>1</v>
      </c>
      <c r="C6" s="11" t="inlineStr">
        <is>
          <t>ערוץ מפיצים</t>
        </is>
      </c>
      <c r="D6" s="11" t="inlineStr">
        <is>
          <t>הכנסות</t>
        </is>
      </c>
      <c r="E6" s="11" t="inlineStr">
        <is>
          <t>הכנסות ממכירות</t>
        </is>
      </c>
      <c r="F6" s="12" t="n">
        <v>267840</v>
      </c>
    </row>
    <row r="7">
      <c r="A7" s="11" t="inlineStr">
        <is>
          <t>ינואר</t>
        </is>
      </c>
      <c r="B7" s="11" t="n">
        <v>1</v>
      </c>
      <c r="C7" s="11" t="inlineStr">
        <is>
          <t>שירות ותמיכה</t>
        </is>
      </c>
      <c r="D7" s="11" t="inlineStr">
        <is>
          <t>הכנסות</t>
        </is>
      </c>
      <c r="E7" s="11" t="inlineStr">
        <is>
          <t>הכנסות ממכירות</t>
        </is>
      </c>
      <c r="F7" s="12" t="n">
        <v>133920</v>
      </c>
    </row>
    <row r="8">
      <c r="A8" s="11" t="inlineStr">
        <is>
          <t>ינואר</t>
        </is>
      </c>
      <c r="B8" s="11" t="n">
        <v>1</v>
      </c>
      <c r="C8" s="11" t="inlineStr">
        <is>
          <t>מכירות ישירות</t>
        </is>
      </c>
      <c r="D8" s="11" t="inlineStr">
        <is>
          <t>הכנסות</t>
        </is>
      </c>
      <c r="E8" s="11" t="inlineStr">
        <is>
          <t>הכנסות משירות</t>
        </is>
      </c>
      <c r="F8" s="12" t="n">
        <v>4140</v>
      </c>
    </row>
    <row r="9">
      <c r="A9" s="11" t="inlineStr">
        <is>
          <t>ינואר</t>
        </is>
      </c>
      <c r="B9" s="11" t="n">
        <v>1</v>
      </c>
      <c r="C9" s="11" t="inlineStr">
        <is>
          <t>ערוץ מפיצים</t>
        </is>
      </c>
      <c r="D9" s="11" t="inlineStr">
        <is>
          <t>הכנסות</t>
        </is>
      </c>
      <c r="E9" s="11" t="inlineStr">
        <is>
          <t>הכנסות משירות</t>
        </is>
      </c>
      <c r="F9" s="12" t="n">
        <v>4140</v>
      </c>
    </row>
    <row r="10">
      <c r="A10" s="11" t="inlineStr">
        <is>
          <t>ינואר</t>
        </is>
      </c>
      <c r="B10" s="11" t="n">
        <v>1</v>
      </c>
      <c r="C10" s="11" t="inlineStr">
        <is>
          <t>שירות ותמיכה</t>
        </is>
      </c>
      <c r="D10" s="11" t="inlineStr">
        <is>
          <t>הכנסות</t>
        </is>
      </c>
      <c r="E10" s="11" t="inlineStr">
        <is>
          <t>הכנסות משירות</t>
        </is>
      </c>
      <c r="F10" s="12" t="n">
        <v>74520</v>
      </c>
    </row>
    <row r="11">
      <c r="A11" s="11" t="inlineStr">
        <is>
          <t>ינואר</t>
        </is>
      </c>
      <c r="B11" s="11" t="n">
        <v>1</v>
      </c>
      <c r="C11" s="11" t="inlineStr">
        <is>
          <t>מכירות ישירות</t>
        </is>
      </c>
      <c r="D11" s="11" t="inlineStr">
        <is>
          <t>עלות המכר</t>
        </is>
      </c>
      <c r="E11" s="11" t="inlineStr">
        <is>
          <t>עלות המכר</t>
        </is>
      </c>
      <c r="F11" s="12" t="n">
        <v>319176</v>
      </c>
    </row>
    <row r="12">
      <c r="A12" s="11" t="inlineStr">
        <is>
          <t>ינואר</t>
        </is>
      </c>
      <c r="B12" s="11" t="n">
        <v>1</v>
      </c>
      <c r="C12" s="11" t="inlineStr">
        <is>
          <t>ערוץ מפיצים</t>
        </is>
      </c>
      <c r="D12" s="11" t="inlineStr">
        <is>
          <t>עלות המכר</t>
        </is>
      </c>
      <c r="E12" s="11" t="inlineStr">
        <is>
          <t>עלות המכר</t>
        </is>
      </c>
      <c r="F12" s="12" t="n">
        <v>174096</v>
      </c>
    </row>
    <row r="13">
      <c r="A13" s="11" t="inlineStr">
        <is>
          <t>ינואר</t>
        </is>
      </c>
      <c r="B13" s="11" t="n">
        <v>1</v>
      </c>
      <c r="C13" s="11" t="inlineStr">
        <is>
          <t>שירות ותמיכה</t>
        </is>
      </c>
      <c r="D13" s="11" t="inlineStr">
        <is>
          <t>עלות המכר</t>
        </is>
      </c>
      <c r="E13" s="11" t="inlineStr">
        <is>
          <t>עלות המכר</t>
        </is>
      </c>
      <c r="F13" s="12" t="n">
        <v>87048</v>
      </c>
    </row>
    <row r="14">
      <c r="A14" s="11" t="inlineStr">
        <is>
          <t>ינואר</t>
        </is>
      </c>
      <c r="B14" s="11" t="n">
        <v>1</v>
      </c>
      <c r="C14" s="11" t="inlineStr">
        <is>
          <t>מכירות ישירות</t>
        </is>
      </c>
      <c r="D14" s="11" t="inlineStr">
        <is>
          <t>הוצאות תפעול</t>
        </is>
      </c>
      <c r="E14" s="11" t="inlineStr">
        <is>
          <t>שכר ונלוות</t>
        </is>
      </c>
      <c r="F14" s="12" t="n">
        <v>81180</v>
      </c>
    </row>
    <row r="15">
      <c r="A15" s="11" t="inlineStr">
        <is>
          <t>ינואר</t>
        </is>
      </c>
      <c r="B15" s="11" t="n">
        <v>1</v>
      </c>
      <c r="C15" s="11" t="inlineStr">
        <is>
          <t>ערוץ מפיצים</t>
        </is>
      </c>
      <c r="D15" s="11" t="inlineStr">
        <is>
          <t>הוצאות תפעול</t>
        </is>
      </c>
      <c r="E15" s="11" t="inlineStr">
        <is>
          <t>שכר ונלוות</t>
        </is>
      </c>
      <c r="F15" s="12" t="n">
        <v>44280</v>
      </c>
    </row>
    <row r="16">
      <c r="A16" s="11" t="inlineStr">
        <is>
          <t>ינואר</t>
        </is>
      </c>
      <c r="B16" s="11" t="n">
        <v>1</v>
      </c>
      <c r="C16" s="11" t="inlineStr">
        <is>
          <t>שירות ותמיכה</t>
        </is>
      </c>
      <c r="D16" s="11" t="inlineStr">
        <is>
          <t>הוצאות תפעול</t>
        </is>
      </c>
      <c r="E16" s="11" t="inlineStr">
        <is>
          <t>שכר ונלוות</t>
        </is>
      </c>
      <c r="F16" s="12" t="n">
        <v>22140</v>
      </c>
    </row>
    <row r="17">
      <c r="A17" s="11" t="inlineStr">
        <is>
          <t>ינואר</t>
        </is>
      </c>
      <c r="B17" s="11" t="n">
        <v>1</v>
      </c>
      <c r="C17" s="11" t="inlineStr">
        <is>
          <t>מכירות ישירות</t>
        </is>
      </c>
      <c r="D17" s="11" t="inlineStr">
        <is>
          <t>הוצאות תפעול</t>
        </is>
      </c>
      <c r="E17" s="11" t="inlineStr">
        <is>
          <t>שכר דירה ואחזקה</t>
        </is>
      </c>
      <c r="F17" s="12" t="n">
        <v>9694</v>
      </c>
    </row>
    <row r="18">
      <c r="A18" s="11" t="inlineStr">
        <is>
          <t>ינואר</t>
        </is>
      </c>
      <c r="B18" s="11" t="n">
        <v>1</v>
      </c>
      <c r="C18" s="11" t="inlineStr">
        <is>
          <t>ערוץ מפיצים</t>
        </is>
      </c>
      <c r="D18" s="11" t="inlineStr">
        <is>
          <t>הוצאות תפעול</t>
        </is>
      </c>
      <c r="E18" s="11" t="inlineStr">
        <is>
          <t>שכר דירה ואחזקה</t>
        </is>
      </c>
      <c r="F18" s="12" t="n">
        <v>9409</v>
      </c>
    </row>
    <row r="19">
      <c r="A19" s="11" t="inlineStr">
        <is>
          <t>ינואר</t>
        </is>
      </c>
      <c r="B19" s="11" t="n">
        <v>1</v>
      </c>
      <c r="C19" s="11" t="inlineStr">
        <is>
          <t>שירות ותמיכה</t>
        </is>
      </c>
      <c r="D19" s="11" t="inlineStr">
        <is>
          <t>הוצאות תפעול</t>
        </is>
      </c>
      <c r="E19" s="11" t="inlineStr">
        <is>
          <t>שכר דירה ואחזקה</t>
        </is>
      </c>
      <c r="F19" s="12" t="n">
        <v>9409</v>
      </c>
    </row>
    <row r="20">
      <c r="A20" s="11" t="inlineStr">
        <is>
          <t>ינואר</t>
        </is>
      </c>
      <c r="B20" s="11" t="n">
        <v>1</v>
      </c>
      <c r="C20" s="11" t="inlineStr">
        <is>
          <t>מכירות ישירות</t>
        </is>
      </c>
      <c r="D20" s="11" t="inlineStr">
        <is>
          <t>הוצאות תפעול</t>
        </is>
      </c>
      <c r="E20" s="11" t="inlineStr">
        <is>
          <t>הוצאות רכב</t>
        </is>
      </c>
      <c r="F20" s="12" t="n">
        <v>8474</v>
      </c>
    </row>
    <row r="21">
      <c r="A21" s="11" t="inlineStr">
        <is>
          <t>ינואר</t>
        </is>
      </c>
      <c r="B21" s="11" t="n">
        <v>1</v>
      </c>
      <c r="C21" s="11" t="inlineStr">
        <is>
          <t>ערוץ מפיצים</t>
        </is>
      </c>
      <c r="D21" s="11" t="inlineStr">
        <is>
          <t>הוצאות תפעול</t>
        </is>
      </c>
      <c r="E21" s="11" t="inlineStr">
        <is>
          <t>הוצאות רכב</t>
        </is>
      </c>
      <c r="F21" s="12" t="n">
        <v>4622</v>
      </c>
    </row>
    <row r="22">
      <c r="A22" s="11" t="inlineStr">
        <is>
          <t>ינואר</t>
        </is>
      </c>
      <c r="B22" s="11" t="n">
        <v>1</v>
      </c>
      <c r="C22" s="11" t="inlineStr">
        <is>
          <t>שירות ותמיכה</t>
        </is>
      </c>
      <c r="D22" s="11" t="inlineStr">
        <is>
          <t>הוצאות תפעול</t>
        </is>
      </c>
      <c r="E22" s="11" t="inlineStr">
        <is>
          <t>הוצאות רכב</t>
        </is>
      </c>
      <c r="F22" s="12" t="n">
        <v>2311</v>
      </c>
    </row>
    <row r="23">
      <c r="A23" s="11" t="inlineStr">
        <is>
          <t>ינואר</t>
        </is>
      </c>
      <c r="B23" s="11" t="n">
        <v>1</v>
      </c>
      <c r="C23" s="11" t="inlineStr">
        <is>
          <t>מכירות ישירות</t>
        </is>
      </c>
      <c r="D23" s="11" t="inlineStr">
        <is>
          <t>הוצאות תפעול</t>
        </is>
      </c>
      <c r="E23" s="11" t="inlineStr">
        <is>
          <t>פרסום ושיווק</t>
        </is>
      </c>
      <c r="F23" s="12" t="n">
        <v>13068</v>
      </c>
    </row>
    <row r="24">
      <c r="A24" s="11" t="inlineStr">
        <is>
          <t>ינואר</t>
        </is>
      </c>
      <c r="B24" s="11" t="n">
        <v>1</v>
      </c>
      <c r="C24" s="11" t="inlineStr">
        <is>
          <t>ערוץ מפיצים</t>
        </is>
      </c>
      <c r="D24" s="11" t="inlineStr">
        <is>
          <t>הוצאות תפעול</t>
        </is>
      </c>
      <c r="E24" s="11" t="inlineStr">
        <is>
          <t>פרסום ושיווק</t>
        </is>
      </c>
      <c r="F24" s="12" t="n">
        <v>7128</v>
      </c>
    </row>
    <row r="25">
      <c r="A25" s="11" t="inlineStr">
        <is>
          <t>ינואר</t>
        </is>
      </c>
      <c r="B25" s="11" t="n">
        <v>1</v>
      </c>
      <c r="C25" s="11" t="inlineStr">
        <is>
          <t>שירות ותמיכה</t>
        </is>
      </c>
      <c r="D25" s="11" t="inlineStr">
        <is>
          <t>הוצאות תפעול</t>
        </is>
      </c>
      <c r="E25" s="11" t="inlineStr">
        <is>
          <t>פרסום ושיווק</t>
        </is>
      </c>
      <c r="F25" s="12" t="n">
        <v>3564</v>
      </c>
    </row>
    <row r="26">
      <c r="A26" s="11" t="inlineStr">
        <is>
          <t>ינואר</t>
        </is>
      </c>
      <c r="B26" s="11" t="n">
        <v>1</v>
      </c>
      <c r="C26" s="11" t="inlineStr">
        <is>
          <t>מכירות ישירות</t>
        </is>
      </c>
      <c r="D26" s="11" t="inlineStr">
        <is>
          <t>הוצאות תפעול</t>
        </is>
      </c>
      <c r="E26" s="11" t="inlineStr">
        <is>
          <t>כיבודים ואירוח</t>
        </is>
      </c>
      <c r="F26" s="12" t="n">
        <v>1901</v>
      </c>
    </row>
    <row r="27">
      <c r="A27" s="11" t="inlineStr">
        <is>
          <t>ינואר</t>
        </is>
      </c>
      <c r="B27" s="11" t="n">
        <v>1</v>
      </c>
      <c r="C27" s="11" t="inlineStr">
        <is>
          <t>ערוץ מפיצים</t>
        </is>
      </c>
      <c r="D27" s="11" t="inlineStr">
        <is>
          <t>הוצאות תפעול</t>
        </is>
      </c>
      <c r="E27" s="11" t="inlineStr">
        <is>
          <t>כיבודים ואירוח</t>
        </is>
      </c>
      <c r="F27" s="12" t="n">
        <v>1037</v>
      </c>
    </row>
    <row r="28">
      <c r="A28" s="11" t="inlineStr">
        <is>
          <t>ינואר</t>
        </is>
      </c>
      <c r="B28" s="11" t="n">
        <v>1</v>
      </c>
      <c r="C28" s="11" t="inlineStr">
        <is>
          <t>שירות ותמיכה</t>
        </is>
      </c>
      <c r="D28" s="11" t="inlineStr">
        <is>
          <t>הוצאות תפעול</t>
        </is>
      </c>
      <c r="E28" s="11" t="inlineStr">
        <is>
          <t>כיבודים ואירוח</t>
        </is>
      </c>
      <c r="F28" s="12" t="n">
        <v>518</v>
      </c>
    </row>
    <row r="29">
      <c r="A29" s="11" t="inlineStr">
        <is>
          <t>ינואר</t>
        </is>
      </c>
      <c r="B29" s="11" t="n">
        <v>1</v>
      </c>
      <c r="C29" s="11" t="inlineStr">
        <is>
          <t>מכירות ישירות</t>
        </is>
      </c>
      <c r="D29" s="11" t="inlineStr">
        <is>
          <t>הוצאות תפעול</t>
        </is>
      </c>
      <c r="E29" s="11" t="inlineStr">
        <is>
          <t>הוצאות משרד</t>
        </is>
      </c>
      <c r="F29" s="12" t="n">
        <v>4990</v>
      </c>
    </row>
    <row r="30">
      <c r="A30" s="11" t="inlineStr">
        <is>
          <t>ינואר</t>
        </is>
      </c>
      <c r="B30" s="11" t="n">
        <v>1</v>
      </c>
      <c r="C30" s="11" t="inlineStr">
        <is>
          <t>ערוץ מפיצים</t>
        </is>
      </c>
      <c r="D30" s="11" t="inlineStr">
        <is>
          <t>הוצאות תפעול</t>
        </is>
      </c>
      <c r="E30" s="11" t="inlineStr">
        <is>
          <t>הוצאות משרד</t>
        </is>
      </c>
      <c r="F30" s="12" t="n">
        <v>2722</v>
      </c>
    </row>
    <row r="31">
      <c r="A31" s="11" t="inlineStr">
        <is>
          <t>ינואר</t>
        </is>
      </c>
      <c r="B31" s="11" t="n">
        <v>1</v>
      </c>
      <c r="C31" s="11" t="inlineStr">
        <is>
          <t>שירות ותמיכה</t>
        </is>
      </c>
      <c r="D31" s="11" t="inlineStr">
        <is>
          <t>הוצאות תפעול</t>
        </is>
      </c>
      <c r="E31" s="11" t="inlineStr">
        <is>
          <t>הוצאות משרד</t>
        </is>
      </c>
      <c r="F31" s="12" t="n">
        <v>1361</v>
      </c>
    </row>
    <row r="32">
      <c r="A32" s="11" t="inlineStr">
        <is>
          <t>ינואר</t>
        </is>
      </c>
      <c r="B32" s="11" t="n">
        <v>1</v>
      </c>
      <c r="C32" s="11" t="inlineStr">
        <is>
          <t>מכירות ישירות</t>
        </is>
      </c>
      <c r="D32" s="11" t="inlineStr">
        <is>
          <t>הוצאות תפעול</t>
        </is>
      </c>
      <c r="E32" s="11" t="inlineStr">
        <is>
          <t>עמלות סליקה</t>
        </is>
      </c>
      <c r="F32" s="12" t="n">
        <v>6019</v>
      </c>
    </row>
    <row r="33">
      <c r="A33" s="11" t="inlineStr">
        <is>
          <t>ינואר</t>
        </is>
      </c>
      <c r="B33" s="11" t="n">
        <v>1</v>
      </c>
      <c r="C33" s="11" t="inlineStr">
        <is>
          <t>ערוץ מפיצים</t>
        </is>
      </c>
      <c r="D33" s="11" t="inlineStr">
        <is>
          <t>הוצאות תפעול</t>
        </is>
      </c>
      <c r="E33" s="11" t="inlineStr">
        <is>
          <t>עמלות סליקה</t>
        </is>
      </c>
      <c r="F33" s="12" t="n">
        <v>3283</v>
      </c>
    </row>
    <row r="34">
      <c r="A34" s="11" t="inlineStr">
        <is>
          <t>ינואר</t>
        </is>
      </c>
      <c r="B34" s="11" t="n">
        <v>1</v>
      </c>
      <c r="C34" s="11" t="inlineStr">
        <is>
          <t>שירות ותמיכה</t>
        </is>
      </c>
      <c r="D34" s="11" t="inlineStr">
        <is>
          <t>הוצאות תפעול</t>
        </is>
      </c>
      <c r="E34" s="11" t="inlineStr">
        <is>
          <t>עמלות סליקה</t>
        </is>
      </c>
      <c r="F34" s="12" t="n">
        <v>1642</v>
      </c>
    </row>
    <row r="35">
      <c r="A35" s="11" t="inlineStr">
        <is>
          <t>ינואר</t>
        </is>
      </c>
      <c r="B35" s="11" t="n">
        <v>1</v>
      </c>
      <c r="C35" s="11" t="inlineStr">
        <is>
          <t>מכירות ישירות</t>
        </is>
      </c>
      <c r="D35" s="11" t="inlineStr">
        <is>
          <t>הוצאות תפעול</t>
        </is>
      </c>
      <c r="E35" s="11" t="inlineStr">
        <is>
          <t>ייעוץ מקצועי</t>
        </is>
      </c>
      <c r="F35" s="12" t="n">
        <v>4673</v>
      </c>
    </row>
    <row r="36">
      <c r="A36" s="11" t="inlineStr">
        <is>
          <t>ינואר</t>
        </is>
      </c>
      <c r="B36" s="11" t="n">
        <v>1</v>
      </c>
      <c r="C36" s="11" t="inlineStr">
        <is>
          <t>ערוץ מפיצים</t>
        </is>
      </c>
      <c r="D36" s="11" t="inlineStr">
        <is>
          <t>הוצאות תפעול</t>
        </is>
      </c>
      <c r="E36" s="11" t="inlineStr">
        <is>
          <t>ייעוץ מקצועי</t>
        </is>
      </c>
      <c r="F36" s="12" t="n">
        <v>2549</v>
      </c>
    </row>
    <row r="37">
      <c r="A37" s="11" t="inlineStr">
        <is>
          <t>ינואר</t>
        </is>
      </c>
      <c r="B37" s="11" t="n">
        <v>1</v>
      </c>
      <c r="C37" s="11" t="inlineStr">
        <is>
          <t>שירות ותמיכה</t>
        </is>
      </c>
      <c r="D37" s="11" t="inlineStr">
        <is>
          <t>הוצאות תפעול</t>
        </is>
      </c>
      <c r="E37" s="11" t="inlineStr">
        <is>
          <t>ייעוץ מקצועי</t>
        </is>
      </c>
      <c r="F37" s="12" t="n">
        <v>1274</v>
      </c>
    </row>
    <row r="38">
      <c r="A38" s="11" t="inlineStr">
        <is>
          <t>ינואר</t>
        </is>
      </c>
      <c r="B38" s="11" t="n">
        <v>1</v>
      </c>
      <c r="C38" s="11" t="inlineStr">
        <is>
          <t>מכירות ישירות</t>
        </is>
      </c>
      <c r="D38" s="11" t="inlineStr">
        <is>
          <t>הוצאות תפעול</t>
        </is>
      </c>
      <c r="E38" s="11" t="inlineStr">
        <is>
          <t>פחת</t>
        </is>
      </c>
      <c r="F38" s="12" t="n">
        <v>4406</v>
      </c>
    </row>
    <row r="39">
      <c r="A39" s="11" t="inlineStr">
        <is>
          <t>ינואר</t>
        </is>
      </c>
      <c r="B39" s="11" t="n">
        <v>1</v>
      </c>
      <c r="C39" s="11" t="inlineStr">
        <is>
          <t>ערוץ מפיצים</t>
        </is>
      </c>
      <c r="D39" s="11" t="inlineStr">
        <is>
          <t>הוצאות תפעול</t>
        </is>
      </c>
      <c r="E39" s="11" t="inlineStr">
        <is>
          <t>פחת</t>
        </is>
      </c>
      <c r="F39" s="12" t="n">
        <v>4277</v>
      </c>
    </row>
    <row r="40">
      <c r="A40" s="11" t="inlineStr">
        <is>
          <t>ינואר</t>
        </is>
      </c>
      <c r="B40" s="11" t="n">
        <v>1</v>
      </c>
      <c r="C40" s="11" t="inlineStr">
        <is>
          <t>שירות ותמיכה</t>
        </is>
      </c>
      <c r="D40" s="11" t="inlineStr">
        <is>
          <t>הוצאות תפעול</t>
        </is>
      </c>
      <c r="E40" s="11" t="inlineStr">
        <is>
          <t>פחת</t>
        </is>
      </c>
      <c r="F40" s="12" t="n">
        <v>4277</v>
      </c>
    </row>
    <row r="41">
      <c r="A41" s="11" t="inlineStr">
        <is>
          <t>ינואר</t>
        </is>
      </c>
      <c r="B41" s="11" t="n">
        <v>1</v>
      </c>
      <c r="C41" s="11" t="inlineStr">
        <is>
          <t>מכירות ישירות</t>
        </is>
      </c>
      <c r="D41" s="11" t="inlineStr">
        <is>
          <t>הוצאות תפעול</t>
        </is>
      </c>
      <c r="E41" s="11" t="inlineStr">
        <is>
          <t>הוצאות מימון</t>
        </is>
      </c>
      <c r="F41" s="12" t="n">
        <v>2350</v>
      </c>
    </row>
    <row r="42">
      <c r="A42" s="11" t="inlineStr">
        <is>
          <t>ינואר</t>
        </is>
      </c>
      <c r="B42" s="11" t="n">
        <v>1</v>
      </c>
      <c r="C42" s="11" t="inlineStr">
        <is>
          <t>ערוץ מפיצים</t>
        </is>
      </c>
      <c r="D42" s="11" t="inlineStr">
        <is>
          <t>הוצאות תפעול</t>
        </is>
      </c>
      <c r="E42" s="11" t="inlineStr">
        <is>
          <t>הוצאות מימון</t>
        </is>
      </c>
      <c r="F42" s="12" t="n">
        <v>2281</v>
      </c>
    </row>
    <row r="43">
      <c r="A43" s="11" t="inlineStr">
        <is>
          <t>ינואר</t>
        </is>
      </c>
      <c r="B43" s="11" t="n">
        <v>1</v>
      </c>
      <c r="C43" s="11" t="inlineStr">
        <is>
          <t>שירות ותמיכה</t>
        </is>
      </c>
      <c r="D43" s="11" t="inlineStr">
        <is>
          <t>הוצאות תפעול</t>
        </is>
      </c>
      <c r="E43" s="11" t="inlineStr">
        <is>
          <t>הוצאות מימון</t>
        </is>
      </c>
      <c r="F43" s="12" t="n">
        <v>2281</v>
      </c>
    </row>
    <row r="44">
      <c r="A44" s="11" t="inlineStr">
        <is>
          <t>פברואר</t>
        </is>
      </c>
      <c r="B44" s="11" t="n">
        <v>2</v>
      </c>
      <c r="C44" s="11" t="inlineStr">
        <is>
          <t>מכירות ישירות</t>
        </is>
      </c>
      <c r="D44" s="11" t="inlineStr">
        <is>
          <t>הכנסות</t>
        </is>
      </c>
      <c r="E44" s="11" t="inlineStr">
        <is>
          <t>הכנסות ממכירות</t>
        </is>
      </c>
      <c r="F44" s="12" t="n">
        <v>477400</v>
      </c>
    </row>
    <row r="45">
      <c r="A45" s="11" t="inlineStr">
        <is>
          <t>פברואר</t>
        </is>
      </c>
      <c r="B45" s="11" t="n">
        <v>2</v>
      </c>
      <c r="C45" s="11" t="inlineStr">
        <is>
          <t>ערוץ מפיצים</t>
        </is>
      </c>
      <c r="D45" s="11" t="inlineStr">
        <is>
          <t>הכנסות</t>
        </is>
      </c>
      <c r="E45" s="11" t="inlineStr">
        <is>
          <t>הכנסות ממכירות</t>
        </is>
      </c>
      <c r="F45" s="12" t="n">
        <v>260400</v>
      </c>
    </row>
    <row r="46">
      <c r="A46" s="11" t="inlineStr">
        <is>
          <t>פברואר</t>
        </is>
      </c>
      <c r="B46" s="11" t="n">
        <v>2</v>
      </c>
      <c r="C46" s="11" t="inlineStr">
        <is>
          <t>שירות ותמיכה</t>
        </is>
      </c>
      <c r="D46" s="11" t="inlineStr">
        <is>
          <t>הכנסות</t>
        </is>
      </c>
      <c r="E46" s="11" t="inlineStr">
        <is>
          <t>הכנסות ממכירות</t>
        </is>
      </c>
      <c r="F46" s="12" t="n">
        <v>130200</v>
      </c>
    </row>
    <row r="47">
      <c r="A47" s="11" t="inlineStr">
        <is>
          <t>פברואר</t>
        </is>
      </c>
      <c r="B47" s="11" t="n">
        <v>2</v>
      </c>
      <c r="C47" s="11" t="inlineStr">
        <is>
          <t>מכירות ישירות</t>
        </is>
      </c>
      <c r="D47" s="11" t="inlineStr">
        <is>
          <t>הכנסות</t>
        </is>
      </c>
      <c r="E47" s="11" t="inlineStr">
        <is>
          <t>הכנסות משירות</t>
        </is>
      </c>
      <c r="F47" s="12" t="n">
        <v>4025</v>
      </c>
    </row>
    <row r="48">
      <c r="A48" s="11" t="inlineStr">
        <is>
          <t>פברואר</t>
        </is>
      </c>
      <c r="B48" s="11" t="n">
        <v>2</v>
      </c>
      <c r="C48" s="11" t="inlineStr">
        <is>
          <t>ערוץ מפיצים</t>
        </is>
      </c>
      <c r="D48" s="11" t="inlineStr">
        <is>
          <t>הכנסות</t>
        </is>
      </c>
      <c r="E48" s="11" t="inlineStr">
        <is>
          <t>הכנסות משירות</t>
        </is>
      </c>
      <c r="F48" s="12" t="n">
        <v>4025</v>
      </c>
    </row>
    <row r="49">
      <c r="A49" s="11" t="inlineStr">
        <is>
          <t>פברואר</t>
        </is>
      </c>
      <c r="B49" s="11" t="n">
        <v>2</v>
      </c>
      <c r="C49" s="11" t="inlineStr">
        <is>
          <t>שירות ותמיכה</t>
        </is>
      </c>
      <c r="D49" s="11" t="inlineStr">
        <is>
          <t>הכנסות</t>
        </is>
      </c>
      <c r="E49" s="11" t="inlineStr">
        <is>
          <t>הכנסות משירות</t>
        </is>
      </c>
      <c r="F49" s="12" t="n">
        <v>72450</v>
      </c>
    </row>
    <row r="50">
      <c r="A50" s="11" t="inlineStr">
        <is>
          <t>פברואר</t>
        </is>
      </c>
      <c r="B50" s="11" t="n">
        <v>2</v>
      </c>
      <c r="C50" s="11" t="inlineStr">
        <is>
          <t>מכירות ישירות</t>
        </is>
      </c>
      <c r="D50" s="11" t="inlineStr">
        <is>
          <t>עלות המכר</t>
        </is>
      </c>
      <c r="E50" s="11" t="inlineStr">
        <is>
          <t>עלות המכר</t>
        </is>
      </c>
      <c r="F50" s="12" t="n">
        <v>310310</v>
      </c>
    </row>
    <row r="51">
      <c r="A51" s="11" t="inlineStr">
        <is>
          <t>פברואר</t>
        </is>
      </c>
      <c r="B51" s="11" t="n">
        <v>2</v>
      </c>
      <c r="C51" s="11" t="inlineStr">
        <is>
          <t>ערוץ מפיצים</t>
        </is>
      </c>
      <c r="D51" s="11" t="inlineStr">
        <is>
          <t>עלות המכר</t>
        </is>
      </c>
      <c r="E51" s="11" t="inlineStr">
        <is>
          <t>עלות המכר</t>
        </is>
      </c>
      <c r="F51" s="12" t="n">
        <v>169260</v>
      </c>
    </row>
    <row r="52">
      <c r="A52" s="11" t="inlineStr">
        <is>
          <t>פברואר</t>
        </is>
      </c>
      <c r="B52" s="11" t="n">
        <v>2</v>
      </c>
      <c r="C52" s="11" t="inlineStr">
        <is>
          <t>שירות ותמיכה</t>
        </is>
      </c>
      <c r="D52" s="11" t="inlineStr">
        <is>
          <t>עלות המכר</t>
        </is>
      </c>
      <c r="E52" s="11" t="inlineStr">
        <is>
          <t>עלות המכר</t>
        </is>
      </c>
      <c r="F52" s="12" t="n">
        <v>84630</v>
      </c>
    </row>
    <row r="53">
      <c r="A53" s="11" t="inlineStr">
        <is>
          <t>פברואר</t>
        </is>
      </c>
      <c r="B53" s="11" t="n">
        <v>2</v>
      </c>
      <c r="C53" s="11" t="inlineStr">
        <is>
          <t>מכירות ישירות</t>
        </is>
      </c>
      <c r="D53" s="11" t="inlineStr">
        <is>
          <t>הוצאות תפעול</t>
        </is>
      </c>
      <c r="E53" s="11" t="inlineStr">
        <is>
          <t>שכר ונלוות</t>
        </is>
      </c>
      <c r="F53" s="12" t="n">
        <v>78925</v>
      </c>
    </row>
    <row r="54">
      <c r="A54" s="11" t="inlineStr">
        <is>
          <t>פברואר</t>
        </is>
      </c>
      <c r="B54" s="11" t="n">
        <v>2</v>
      </c>
      <c r="C54" s="11" t="inlineStr">
        <is>
          <t>ערוץ מפיצים</t>
        </is>
      </c>
      <c r="D54" s="11" t="inlineStr">
        <is>
          <t>הוצאות תפעול</t>
        </is>
      </c>
      <c r="E54" s="11" t="inlineStr">
        <is>
          <t>שכר ונלוות</t>
        </is>
      </c>
      <c r="F54" s="12" t="n">
        <v>43050</v>
      </c>
    </row>
    <row r="55">
      <c r="A55" s="11" t="inlineStr">
        <is>
          <t>פברואר</t>
        </is>
      </c>
      <c r="B55" s="11" t="n">
        <v>2</v>
      </c>
      <c r="C55" s="11" t="inlineStr">
        <is>
          <t>שירות ותמיכה</t>
        </is>
      </c>
      <c r="D55" s="11" t="inlineStr">
        <is>
          <t>הוצאות תפעול</t>
        </is>
      </c>
      <c r="E55" s="11" t="inlineStr">
        <is>
          <t>שכר ונלוות</t>
        </is>
      </c>
      <c r="F55" s="12" t="n">
        <v>21525</v>
      </c>
    </row>
    <row r="56">
      <c r="A56" s="11" t="inlineStr">
        <is>
          <t>פברואר</t>
        </is>
      </c>
      <c r="B56" s="11" t="n">
        <v>2</v>
      </c>
      <c r="C56" s="11" t="inlineStr">
        <is>
          <t>מכירות ישירות</t>
        </is>
      </c>
      <c r="D56" s="11" t="inlineStr">
        <is>
          <t>הוצאות תפעול</t>
        </is>
      </c>
      <c r="E56" s="11" t="inlineStr">
        <is>
          <t>שכר דירה ואחזקה</t>
        </is>
      </c>
      <c r="F56" s="12" t="n">
        <v>9425</v>
      </c>
    </row>
    <row r="57">
      <c r="A57" s="11" t="inlineStr">
        <is>
          <t>פברואר</t>
        </is>
      </c>
      <c r="B57" s="11" t="n">
        <v>2</v>
      </c>
      <c r="C57" s="11" t="inlineStr">
        <is>
          <t>ערוץ מפיצים</t>
        </is>
      </c>
      <c r="D57" s="11" t="inlineStr">
        <is>
          <t>הוצאות תפעול</t>
        </is>
      </c>
      <c r="E57" s="11" t="inlineStr">
        <is>
          <t>שכר דירה ואחזקה</t>
        </is>
      </c>
      <c r="F57" s="12" t="n">
        <v>9148</v>
      </c>
    </row>
    <row r="58">
      <c r="A58" s="11" t="inlineStr">
        <is>
          <t>פברואר</t>
        </is>
      </c>
      <c r="B58" s="11" t="n">
        <v>2</v>
      </c>
      <c r="C58" s="11" t="inlineStr">
        <is>
          <t>שירות ותמיכה</t>
        </is>
      </c>
      <c r="D58" s="11" t="inlineStr">
        <is>
          <t>הוצאות תפעול</t>
        </is>
      </c>
      <c r="E58" s="11" t="inlineStr">
        <is>
          <t>שכר דירה ואחזקה</t>
        </is>
      </c>
      <c r="F58" s="12" t="n">
        <v>9148</v>
      </c>
    </row>
    <row r="59">
      <c r="A59" s="11" t="inlineStr">
        <is>
          <t>פברואר</t>
        </is>
      </c>
      <c r="B59" s="11" t="n">
        <v>2</v>
      </c>
      <c r="C59" s="11" t="inlineStr">
        <is>
          <t>מכירות ישירות</t>
        </is>
      </c>
      <c r="D59" s="11" t="inlineStr">
        <is>
          <t>הוצאות תפעול</t>
        </is>
      </c>
      <c r="E59" s="11" t="inlineStr">
        <is>
          <t>הוצאות רכב</t>
        </is>
      </c>
      <c r="F59" s="12" t="n">
        <v>8239</v>
      </c>
    </row>
    <row r="60">
      <c r="A60" s="11" t="inlineStr">
        <is>
          <t>פברואר</t>
        </is>
      </c>
      <c r="B60" s="11" t="n">
        <v>2</v>
      </c>
      <c r="C60" s="11" t="inlineStr">
        <is>
          <t>ערוץ מפיצים</t>
        </is>
      </c>
      <c r="D60" s="11" t="inlineStr">
        <is>
          <t>הוצאות תפעול</t>
        </is>
      </c>
      <c r="E60" s="11" t="inlineStr">
        <is>
          <t>הוצאות רכב</t>
        </is>
      </c>
      <c r="F60" s="12" t="n">
        <v>4494</v>
      </c>
    </row>
    <row r="61">
      <c r="A61" s="11" t="inlineStr">
        <is>
          <t>פברואר</t>
        </is>
      </c>
      <c r="B61" s="11" t="n">
        <v>2</v>
      </c>
      <c r="C61" s="11" t="inlineStr">
        <is>
          <t>שירות ותמיכה</t>
        </is>
      </c>
      <c r="D61" s="11" t="inlineStr">
        <is>
          <t>הוצאות תפעול</t>
        </is>
      </c>
      <c r="E61" s="11" t="inlineStr">
        <is>
          <t>הוצאות רכב</t>
        </is>
      </c>
      <c r="F61" s="12" t="n">
        <v>2247</v>
      </c>
    </row>
    <row r="62">
      <c r="A62" s="11" t="inlineStr">
        <is>
          <t>פברואר</t>
        </is>
      </c>
      <c r="B62" s="11" t="n">
        <v>2</v>
      </c>
      <c r="C62" s="11" t="inlineStr">
        <is>
          <t>מכירות ישירות</t>
        </is>
      </c>
      <c r="D62" s="11" t="inlineStr">
        <is>
          <t>הוצאות תפעול</t>
        </is>
      </c>
      <c r="E62" s="11" t="inlineStr">
        <is>
          <t>פרסום ושיווק</t>
        </is>
      </c>
      <c r="F62" s="12" t="n">
        <v>12705</v>
      </c>
    </row>
    <row r="63">
      <c r="A63" s="11" t="inlineStr">
        <is>
          <t>פברואר</t>
        </is>
      </c>
      <c r="B63" s="11" t="n">
        <v>2</v>
      </c>
      <c r="C63" s="11" t="inlineStr">
        <is>
          <t>ערוץ מפיצים</t>
        </is>
      </c>
      <c r="D63" s="11" t="inlineStr">
        <is>
          <t>הוצאות תפעול</t>
        </is>
      </c>
      <c r="E63" s="11" t="inlineStr">
        <is>
          <t>פרסום ושיווק</t>
        </is>
      </c>
      <c r="F63" s="12" t="n">
        <v>6930</v>
      </c>
    </row>
    <row r="64">
      <c r="A64" s="11" t="inlineStr">
        <is>
          <t>פברואר</t>
        </is>
      </c>
      <c r="B64" s="11" t="n">
        <v>2</v>
      </c>
      <c r="C64" s="11" t="inlineStr">
        <is>
          <t>שירות ותמיכה</t>
        </is>
      </c>
      <c r="D64" s="11" t="inlineStr">
        <is>
          <t>הוצאות תפעול</t>
        </is>
      </c>
      <c r="E64" s="11" t="inlineStr">
        <is>
          <t>פרסום ושיווק</t>
        </is>
      </c>
      <c r="F64" s="12" t="n">
        <v>3465</v>
      </c>
    </row>
    <row r="65">
      <c r="A65" s="11" t="inlineStr">
        <is>
          <t>פברואר</t>
        </is>
      </c>
      <c r="B65" s="11" t="n">
        <v>2</v>
      </c>
      <c r="C65" s="11" t="inlineStr">
        <is>
          <t>מכירות ישירות</t>
        </is>
      </c>
      <c r="D65" s="11" t="inlineStr">
        <is>
          <t>הוצאות תפעול</t>
        </is>
      </c>
      <c r="E65" s="11" t="inlineStr">
        <is>
          <t>כיבודים ואירוח</t>
        </is>
      </c>
      <c r="F65" s="12" t="n">
        <v>1848</v>
      </c>
    </row>
    <row r="66">
      <c r="A66" s="11" t="inlineStr">
        <is>
          <t>פברואר</t>
        </is>
      </c>
      <c r="B66" s="11" t="n">
        <v>2</v>
      </c>
      <c r="C66" s="11" t="inlineStr">
        <is>
          <t>ערוץ מפיצים</t>
        </is>
      </c>
      <c r="D66" s="11" t="inlineStr">
        <is>
          <t>הוצאות תפעול</t>
        </is>
      </c>
      <c r="E66" s="11" t="inlineStr">
        <is>
          <t>כיבודים ואירוח</t>
        </is>
      </c>
      <c r="F66" s="12" t="n">
        <v>1008</v>
      </c>
    </row>
    <row r="67">
      <c r="A67" s="11" t="inlineStr">
        <is>
          <t>פברואר</t>
        </is>
      </c>
      <c r="B67" s="11" t="n">
        <v>2</v>
      </c>
      <c r="C67" s="11" t="inlineStr">
        <is>
          <t>שירות ותמיכה</t>
        </is>
      </c>
      <c r="D67" s="11" t="inlineStr">
        <is>
          <t>הוצאות תפעול</t>
        </is>
      </c>
      <c r="E67" s="11" t="inlineStr">
        <is>
          <t>כיבודים ואירוח</t>
        </is>
      </c>
      <c r="F67" s="12" t="n">
        <v>504</v>
      </c>
    </row>
    <row r="68">
      <c r="A68" s="11" t="inlineStr">
        <is>
          <t>פברואר</t>
        </is>
      </c>
      <c r="B68" s="11" t="n">
        <v>2</v>
      </c>
      <c r="C68" s="11" t="inlineStr">
        <is>
          <t>מכירות ישירות</t>
        </is>
      </c>
      <c r="D68" s="11" t="inlineStr">
        <is>
          <t>הוצאות תפעול</t>
        </is>
      </c>
      <c r="E68" s="11" t="inlineStr">
        <is>
          <t>הוצאות משרד</t>
        </is>
      </c>
      <c r="F68" s="12" t="n">
        <v>4851</v>
      </c>
    </row>
    <row r="69">
      <c r="A69" s="11" t="inlineStr">
        <is>
          <t>פברואר</t>
        </is>
      </c>
      <c r="B69" s="11" t="n">
        <v>2</v>
      </c>
      <c r="C69" s="11" t="inlineStr">
        <is>
          <t>ערוץ מפיצים</t>
        </is>
      </c>
      <c r="D69" s="11" t="inlineStr">
        <is>
          <t>הוצאות תפעול</t>
        </is>
      </c>
      <c r="E69" s="11" t="inlineStr">
        <is>
          <t>הוצאות משרד</t>
        </is>
      </c>
      <c r="F69" s="12" t="n">
        <v>2646</v>
      </c>
    </row>
    <row r="70">
      <c r="A70" s="11" t="inlineStr">
        <is>
          <t>פברואר</t>
        </is>
      </c>
      <c r="B70" s="11" t="n">
        <v>2</v>
      </c>
      <c r="C70" s="11" t="inlineStr">
        <is>
          <t>שירות ותמיכה</t>
        </is>
      </c>
      <c r="D70" s="11" t="inlineStr">
        <is>
          <t>הוצאות תפעול</t>
        </is>
      </c>
      <c r="E70" s="11" t="inlineStr">
        <is>
          <t>הוצאות משרד</t>
        </is>
      </c>
      <c r="F70" s="12" t="n">
        <v>1323</v>
      </c>
    </row>
    <row r="71">
      <c r="A71" s="11" t="inlineStr">
        <is>
          <t>פברואר</t>
        </is>
      </c>
      <c r="B71" s="11" t="n">
        <v>2</v>
      </c>
      <c r="C71" s="11" t="inlineStr">
        <is>
          <t>מכירות ישירות</t>
        </is>
      </c>
      <c r="D71" s="11" t="inlineStr">
        <is>
          <t>הוצאות תפעול</t>
        </is>
      </c>
      <c r="E71" s="11" t="inlineStr">
        <is>
          <t>עמלות סליקה</t>
        </is>
      </c>
      <c r="F71" s="12" t="n">
        <v>5852</v>
      </c>
    </row>
    <row r="72">
      <c r="A72" s="11" t="inlineStr">
        <is>
          <t>פברואר</t>
        </is>
      </c>
      <c r="B72" s="11" t="n">
        <v>2</v>
      </c>
      <c r="C72" s="11" t="inlineStr">
        <is>
          <t>ערוץ מפיצים</t>
        </is>
      </c>
      <c r="D72" s="11" t="inlineStr">
        <is>
          <t>הוצאות תפעול</t>
        </is>
      </c>
      <c r="E72" s="11" t="inlineStr">
        <is>
          <t>עמלות סליקה</t>
        </is>
      </c>
      <c r="F72" s="12" t="n">
        <v>3192</v>
      </c>
    </row>
    <row r="73">
      <c r="A73" s="11" t="inlineStr">
        <is>
          <t>פברואר</t>
        </is>
      </c>
      <c r="B73" s="11" t="n">
        <v>2</v>
      </c>
      <c r="C73" s="11" t="inlineStr">
        <is>
          <t>שירות ותמיכה</t>
        </is>
      </c>
      <c r="D73" s="11" t="inlineStr">
        <is>
          <t>הוצאות תפעול</t>
        </is>
      </c>
      <c r="E73" s="11" t="inlineStr">
        <is>
          <t>עמלות סליקה</t>
        </is>
      </c>
      <c r="F73" s="12" t="n">
        <v>1596</v>
      </c>
    </row>
    <row r="74">
      <c r="A74" s="11" t="inlineStr">
        <is>
          <t>פברואר</t>
        </is>
      </c>
      <c r="B74" s="11" t="n">
        <v>2</v>
      </c>
      <c r="C74" s="11" t="inlineStr">
        <is>
          <t>מכירות ישירות</t>
        </is>
      </c>
      <c r="D74" s="11" t="inlineStr">
        <is>
          <t>הוצאות תפעול</t>
        </is>
      </c>
      <c r="E74" s="11" t="inlineStr">
        <is>
          <t>ייעוץ מקצועי</t>
        </is>
      </c>
      <c r="F74" s="12" t="n">
        <v>4543</v>
      </c>
    </row>
    <row r="75">
      <c r="A75" s="11" t="inlineStr">
        <is>
          <t>פברואר</t>
        </is>
      </c>
      <c r="B75" s="11" t="n">
        <v>2</v>
      </c>
      <c r="C75" s="11" t="inlineStr">
        <is>
          <t>ערוץ מפיצים</t>
        </is>
      </c>
      <c r="D75" s="11" t="inlineStr">
        <is>
          <t>הוצאות תפעול</t>
        </is>
      </c>
      <c r="E75" s="11" t="inlineStr">
        <is>
          <t>ייעוץ מקצועי</t>
        </is>
      </c>
      <c r="F75" s="12" t="n">
        <v>2478</v>
      </c>
    </row>
    <row r="76">
      <c r="A76" s="11" t="inlineStr">
        <is>
          <t>פברואר</t>
        </is>
      </c>
      <c r="B76" s="11" t="n">
        <v>2</v>
      </c>
      <c r="C76" s="11" t="inlineStr">
        <is>
          <t>שירות ותמיכה</t>
        </is>
      </c>
      <c r="D76" s="11" t="inlineStr">
        <is>
          <t>הוצאות תפעול</t>
        </is>
      </c>
      <c r="E76" s="11" t="inlineStr">
        <is>
          <t>ייעוץ מקצועי</t>
        </is>
      </c>
      <c r="F76" s="12" t="n">
        <v>1239</v>
      </c>
    </row>
    <row r="77">
      <c r="A77" s="11" t="inlineStr">
        <is>
          <t>פברואר</t>
        </is>
      </c>
      <c r="B77" s="11" t="n">
        <v>2</v>
      </c>
      <c r="C77" s="11" t="inlineStr">
        <is>
          <t>מכירות ישירות</t>
        </is>
      </c>
      <c r="D77" s="11" t="inlineStr">
        <is>
          <t>הוצאות תפעול</t>
        </is>
      </c>
      <c r="E77" s="11" t="inlineStr">
        <is>
          <t>פחת</t>
        </is>
      </c>
      <c r="F77" s="12" t="n">
        <v>4284</v>
      </c>
    </row>
    <row r="78">
      <c r="A78" s="11" t="inlineStr">
        <is>
          <t>פברואר</t>
        </is>
      </c>
      <c r="B78" s="11" t="n">
        <v>2</v>
      </c>
      <c r="C78" s="11" t="inlineStr">
        <is>
          <t>ערוץ מפיצים</t>
        </is>
      </c>
      <c r="D78" s="11" t="inlineStr">
        <is>
          <t>הוצאות תפעול</t>
        </is>
      </c>
      <c r="E78" s="11" t="inlineStr">
        <is>
          <t>פחת</t>
        </is>
      </c>
      <c r="F78" s="12" t="n">
        <v>4158</v>
      </c>
    </row>
    <row r="79">
      <c r="A79" s="11" t="inlineStr">
        <is>
          <t>פברואר</t>
        </is>
      </c>
      <c r="B79" s="11" t="n">
        <v>2</v>
      </c>
      <c r="C79" s="11" t="inlineStr">
        <is>
          <t>שירות ותמיכה</t>
        </is>
      </c>
      <c r="D79" s="11" t="inlineStr">
        <is>
          <t>הוצאות תפעול</t>
        </is>
      </c>
      <c r="E79" s="11" t="inlineStr">
        <is>
          <t>פחת</t>
        </is>
      </c>
      <c r="F79" s="12" t="n">
        <v>4158</v>
      </c>
    </row>
    <row r="80">
      <c r="A80" s="11" t="inlineStr">
        <is>
          <t>פברואר</t>
        </is>
      </c>
      <c r="B80" s="11" t="n">
        <v>2</v>
      </c>
      <c r="C80" s="11" t="inlineStr">
        <is>
          <t>מכירות ישירות</t>
        </is>
      </c>
      <c r="D80" s="11" t="inlineStr">
        <is>
          <t>הוצאות תפעול</t>
        </is>
      </c>
      <c r="E80" s="11" t="inlineStr">
        <is>
          <t>הוצאות מימון</t>
        </is>
      </c>
      <c r="F80" s="12" t="n">
        <v>2285</v>
      </c>
    </row>
    <row r="81">
      <c r="A81" s="11" t="inlineStr">
        <is>
          <t>פברואר</t>
        </is>
      </c>
      <c r="B81" s="11" t="n">
        <v>2</v>
      </c>
      <c r="C81" s="11" t="inlineStr">
        <is>
          <t>ערוץ מפיצים</t>
        </is>
      </c>
      <c r="D81" s="11" t="inlineStr">
        <is>
          <t>הוצאות תפעול</t>
        </is>
      </c>
      <c r="E81" s="11" t="inlineStr">
        <is>
          <t>הוצאות מימון</t>
        </is>
      </c>
      <c r="F81" s="12" t="n">
        <v>2218</v>
      </c>
    </row>
    <row r="82">
      <c r="A82" s="11" t="inlineStr">
        <is>
          <t>פברואר</t>
        </is>
      </c>
      <c r="B82" s="11" t="n">
        <v>2</v>
      </c>
      <c r="C82" s="11" t="inlineStr">
        <is>
          <t>שירות ותמיכה</t>
        </is>
      </c>
      <c r="D82" s="11" t="inlineStr">
        <is>
          <t>הוצאות תפעול</t>
        </is>
      </c>
      <c r="E82" s="11" t="inlineStr">
        <is>
          <t>הוצאות מימון</t>
        </is>
      </c>
      <c r="F82" s="12" t="n">
        <v>2218</v>
      </c>
    </row>
    <row r="83">
      <c r="A83" s="11" t="inlineStr">
        <is>
          <t>מרץ</t>
        </is>
      </c>
      <c r="B83" s="11" t="n">
        <v>3</v>
      </c>
      <c r="C83" s="11" t="inlineStr">
        <is>
          <t>מכירות ישירות</t>
        </is>
      </c>
      <c r="D83" s="11" t="inlineStr">
        <is>
          <t>הכנסות</t>
        </is>
      </c>
      <c r="E83" s="11" t="inlineStr">
        <is>
          <t>הכנסות ממכירות</t>
        </is>
      </c>
      <c r="F83" s="12" t="n">
        <v>586520</v>
      </c>
    </row>
    <row r="84">
      <c r="A84" s="11" t="inlineStr">
        <is>
          <t>מרץ</t>
        </is>
      </c>
      <c r="B84" s="11" t="n">
        <v>3</v>
      </c>
      <c r="C84" s="11" t="inlineStr">
        <is>
          <t>ערוץ מפיצים</t>
        </is>
      </c>
      <c r="D84" s="11" t="inlineStr">
        <is>
          <t>הכנסות</t>
        </is>
      </c>
      <c r="E84" s="11" t="inlineStr">
        <is>
          <t>הכנסות ממכירות</t>
        </is>
      </c>
      <c r="F84" s="12" t="n">
        <v>319920</v>
      </c>
    </row>
    <row r="85">
      <c r="A85" s="11" t="inlineStr">
        <is>
          <t>מרץ</t>
        </is>
      </c>
      <c r="B85" s="11" t="n">
        <v>3</v>
      </c>
      <c r="C85" s="11" t="inlineStr">
        <is>
          <t>שירות ותמיכה</t>
        </is>
      </c>
      <c r="D85" s="11" t="inlineStr">
        <is>
          <t>הכנסות</t>
        </is>
      </c>
      <c r="E85" s="11" t="inlineStr">
        <is>
          <t>הכנסות ממכירות</t>
        </is>
      </c>
      <c r="F85" s="12" t="n">
        <v>159960</v>
      </c>
    </row>
    <row r="86">
      <c r="A86" s="11" t="inlineStr">
        <is>
          <t>מרץ</t>
        </is>
      </c>
      <c r="B86" s="11" t="n">
        <v>3</v>
      </c>
      <c r="C86" s="11" t="inlineStr">
        <is>
          <t>מכירות ישירות</t>
        </is>
      </c>
      <c r="D86" s="11" t="inlineStr">
        <is>
          <t>הכנסות</t>
        </is>
      </c>
      <c r="E86" s="11" t="inlineStr">
        <is>
          <t>הכנסות משירות</t>
        </is>
      </c>
      <c r="F86" s="12" t="n">
        <v>4945</v>
      </c>
    </row>
    <row r="87">
      <c r="A87" s="11" t="inlineStr">
        <is>
          <t>מרץ</t>
        </is>
      </c>
      <c r="B87" s="11" t="n">
        <v>3</v>
      </c>
      <c r="C87" s="11" t="inlineStr">
        <is>
          <t>ערוץ מפיצים</t>
        </is>
      </c>
      <c r="D87" s="11" t="inlineStr">
        <is>
          <t>הכנסות</t>
        </is>
      </c>
      <c r="E87" s="11" t="inlineStr">
        <is>
          <t>הכנסות משירות</t>
        </is>
      </c>
      <c r="F87" s="12" t="n">
        <v>4945</v>
      </c>
    </row>
    <row r="88">
      <c r="A88" s="11" t="inlineStr">
        <is>
          <t>מרץ</t>
        </is>
      </c>
      <c r="B88" s="11" t="n">
        <v>3</v>
      </c>
      <c r="C88" s="11" t="inlineStr">
        <is>
          <t>שירות ותמיכה</t>
        </is>
      </c>
      <c r="D88" s="11" t="inlineStr">
        <is>
          <t>הכנסות</t>
        </is>
      </c>
      <c r="E88" s="11" t="inlineStr">
        <is>
          <t>הכנסות משירות</t>
        </is>
      </c>
      <c r="F88" s="12" t="n">
        <v>89010</v>
      </c>
    </row>
    <row r="89">
      <c r="A89" s="11" t="inlineStr">
        <is>
          <t>מרץ</t>
        </is>
      </c>
      <c r="B89" s="11" t="n">
        <v>3</v>
      </c>
      <c r="C89" s="11" t="inlineStr">
        <is>
          <t>מכירות ישירות</t>
        </is>
      </c>
      <c r="D89" s="11" t="inlineStr">
        <is>
          <t>עלות המכר</t>
        </is>
      </c>
      <c r="E89" s="11" t="inlineStr">
        <is>
          <t>עלות המכר</t>
        </is>
      </c>
      <c r="F89" s="12" t="n">
        <v>381238</v>
      </c>
    </row>
    <row r="90">
      <c r="A90" s="11" t="inlineStr">
        <is>
          <t>מרץ</t>
        </is>
      </c>
      <c r="B90" s="11" t="n">
        <v>3</v>
      </c>
      <c r="C90" s="11" t="inlineStr">
        <is>
          <t>ערוץ מפיצים</t>
        </is>
      </c>
      <c r="D90" s="11" t="inlineStr">
        <is>
          <t>עלות המכר</t>
        </is>
      </c>
      <c r="E90" s="11" t="inlineStr">
        <is>
          <t>עלות המכר</t>
        </is>
      </c>
      <c r="F90" s="12" t="n">
        <v>207948</v>
      </c>
    </row>
    <row r="91">
      <c r="A91" s="11" t="inlineStr">
        <is>
          <t>מרץ</t>
        </is>
      </c>
      <c r="B91" s="11" t="n">
        <v>3</v>
      </c>
      <c r="C91" s="11" t="inlineStr">
        <is>
          <t>שירות ותמיכה</t>
        </is>
      </c>
      <c r="D91" s="11" t="inlineStr">
        <is>
          <t>עלות המכר</t>
        </is>
      </c>
      <c r="E91" s="11" t="inlineStr">
        <is>
          <t>עלות המכר</t>
        </is>
      </c>
      <c r="F91" s="12" t="n">
        <v>103974</v>
      </c>
    </row>
    <row r="92">
      <c r="A92" s="11" t="inlineStr">
        <is>
          <t>מרץ</t>
        </is>
      </c>
      <c r="B92" s="11" t="n">
        <v>3</v>
      </c>
      <c r="C92" s="11" t="inlineStr">
        <is>
          <t>מכירות ישירות</t>
        </is>
      </c>
      <c r="D92" s="11" t="inlineStr">
        <is>
          <t>הוצאות תפעול</t>
        </is>
      </c>
      <c r="E92" s="11" t="inlineStr">
        <is>
          <t>שכר ונלוות</t>
        </is>
      </c>
      <c r="F92" s="12" t="n">
        <v>96965</v>
      </c>
    </row>
    <row r="93">
      <c r="A93" s="11" t="inlineStr">
        <is>
          <t>מרץ</t>
        </is>
      </c>
      <c r="B93" s="11" t="n">
        <v>3</v>
      </c>
      <c r="C93" s="11" t="inlineStr">
        <is>
          <t>ערוץ מפיצים</t>
        </is>
      </c>
      <c r="D93" s="11" t="inlineStr">
        <is>
          <t>הוצאות תפעול</t>
        </is>
      </c>
      <c r="E93" s="11" t="inlineStr">
        <is>
          <t>שכר ונלוות</t>
        </is>
      </c>
      <c r="F93" s="12" t="n">
        <v>52890</v>
      </c>
    </row>
    <row r="94">
      <c r="A94" s="11" t="inlineStr">
        <is>
          <t>מרץ</t>
        </is>
      </c>
      <c r="B94" s="11" t="n">
        <v>3</v>
      </c>
      <c r="C94" s="11" t="inlineStr">
        <is>
          <t>שירות ותמיכה</t>
        </is>
      </c>
      <c r="D94" s="11" t="inlineStr">
        <is>
          <t>הוצאות תפעול</t>
        </is>
      </c>
      <c r="E94" s="11" t="inlineStr">
        <is>
          <t>שכר ונלוות</t>
        </is>
      </c>
      <c r="F94" s="12" t="n">
        <v>26445</v>
      </c>
    </row>
    <row r="95">
      <c r="A95" s="11" t="inlineStr">
        <is>
          <t>מרץ</t>
        </is>
      </c>
      <c r="B95" s="11" t="n">
        <v>3</v>
      </c>
      <c r="C95" s="11" t="inlineStr">
        <is>
          <t>מכירות ישירות</t>
        </is>
      </c>
      <c r="D95" s="11" t="inlineStr">
        <is>
          <t>הוצאות תפעול</t>
        </is>
      </c>
      <c r="E95" s="11" t="inlineStr">
        <is>
          <t>שכר דירה ואחזקה</t>
        </is>
      </c>
      <c r="F95" s="12" t="n">
        <v>11579</v>
      </c>
    </row>
    <row r="96">
      <c r="A96" s="11" t="inlineStr">
        <is>
          <t>מרץ</t>
        </is>
      </c>
      <c r="B96" s="11" t="n">
        <v>3</v>
      </c>
      <c r="C96" s="11" t="inlineStr">
        <is>
          <t>ערוץ מפיצים</t>
        </is>
      </c>
      <c r="D96" s="11" t="inlineStr">
        <is>
          <t>הוצאות תפעול</t>
        </is>
      </c>
      <c r="E96" s="11" t="inlineStr">
        <is>
          <t>שכר דירה ואחזקה</t>
        </is>
      </c>
      <c r="F96" s="12" t="n">
        <v>11238</v>
      </c>
    </row>
    <row r="97">
      <c r="A97" s="11" t="inlineStr">
        <is>
          <t>מרץ</t>
        </is>
      </c>
      <c r="B97" s="11" t="n">
        <v>3</v>
      </c>
      <c r="C97" s="11" t="inlineStr">
        <is>
          <t>שירות ותמיכה</t>
        </is>
      </c>
      <c r="D97" s="11" t="inlineStr">
        <is>
          <t>הוצאות תפעול</t>
        </is>
      </c>
      <c r="E97" s="11" t="inlineStr">
        <is>
          <t>שכר דירה ואחזקה</t>
        </is>
      </c>
      <c r="F97" s="12" t="n">
        <v>11238</v>
      </c>
    </row>
    <row r="98">
      <c r="A98" s="11" t="inlineStr">
        <is>
          <t>מרץ</t>
        </is>
      </c>
      <c r="B98" s="11" t="n">
        <v>3</v>
      </c>
      <c r="C98" s="11" t="inlineStr">
        <is>
          <t>מכירות ישירות</t>
        </is>
      </c>
      <c r="D98" s="11" t="inlineStr">
        <is>
          <t>הוצאות תפעול</t>
        </is>
      </c>
      <c r="E98" s="11" t="inlineStr">
        <is>
          <t>הוצאות רכב</t>
        </is>
      </c>
      <c r="F98" s="12" t="n">
        <v>10122</v>
      </c>
    </row>
    <row r="99">
      <c r="A99" s="11" t="inlineStr">
        <is>
          <t>מרץ</t>
        </is>
      </c>
      <c r="B99" s="11" t="n">
        <v>3</v>
      </c>
      <c r="C99" s="11" t="inlineStr">
        <is>
          <t>ערוץ מפיצים</t>
        </is>
      </c>
      <c r="D99" s="11" t="inlineStr">
        <is>
          <t>הוצאות תפעול</t>
        </is>
      </c>
      <c r="E99" s="11" t="inlineStr">
        <is>
          <t>הוצאות רכב</t>
        </is>
      </c>
      <c r="F99" s="12" t="n">
        <v>5521</v>
      </c>
    </row>
    <row r="100">
      <c r="A100" s="11" t="inlineStr">
        <is>
          <t>מרץ</t>
        </is>
      </c>
      <c r="B100" s="11" t="n">
        <v>3</v>
      </c>
      <c r="C100" s="11" t="inlineStr">
        <is>
          <t>שירות ותמיכה</t>
        </is>
      </c>
      <c r="D100" s="11" t="inlineStr">
        <is>
          <t>הוצאות תפעול</t>
        </is>
      </c>
      <c r="E100" s="11" t="inlineStr">
        <is>
          <t>הוצאות רכב</t>
        </is>
      </c>
      <c r="F100" s="12" t="n">
        <v>2761</v>
      </c>
    </row>
    <row r="101">
      <c r="A101" s="11" t="inlineStr">
        <is>
          <t>מרץ</t>
        </is>
      </c>
      <c r="B101" s="11" t="n">
        <v>3</v>
      </c>
      <c r="C101" s="11" t="inlineStr">
        <is>
          <t>מכירות ישירות</t>
        </is>
      </c>
      <c r="D101" s="11" t="inlineStr">
        <is>
          <t>הוצאות תפעול</t>
        </is>
      </c>
      <c r="E101" s="11" t="inlineStr">
        <is>
          <t>פרסום ושיווק</t>
        </is>
      </c>
      <c r="F101" s="12" t="n">
        <v>15609</v>
      </c>
    </row>
    <row r="102">
      <c r="A102" s="11" t="inlineStr">
        <is>
          <t>מרץ</t>
        </is>
      </c>
      <c r="B102" s="11" t="n">
        <v>3</v>
      </c>
      <c r="C102" s="11" t="inlineStr">
        <is>
          <t>ערוץ מפיצים</t>
        </is>
      </c>
      <c r="D102" s="11" t="inlineStr">
        <is>
          <t>הוצאות תפעול</t>
        </is>
      </c>
      <c r="E102" s="11" t="inlineStr">
        <is>
          <t>פרסום ושיווק</t>
        </is>
      </c>
      <c r="F102" s="12" t="n">
        <v>8514</v>
      </c>
    </row>
    <row r="103">
      <c r="A103" s="11" t="inlineStr">
        <is>
          <t>מרץ</t>
        </is>
      </c>
      <c r="B103" s="11" t="n">
        <v>3</v>
      </c>
      <c r="C103" s="11" t="inlineStr">
        <is>
          <t>שירות ותמיכה</t>
        </is>
      </c>
      <c r="D103" s="11" t="inlineStr">
        <is>
          <t>הוצאות תפעול</t>
        </is>
      </c>
      <c r="E103" s="11" t="inlineStr">
        <is>
          <t>פרסום ושיווק</t>
        </is>
      </c>
      <c r="F103" s="12" t="n">
        <v>4257</v>
      </c>
    </row>
    <row r="104">
      <c r="A104" s="11" t="inlineStr">
        <is>
          <t>מרץ</t>
        </is>
      </c>
      <c r="B104" s="11" t="n">
        <v>3</v>
      </c>
      <c r="C104" s="11" t="inlineStr">
        <is>
          <t>מכירות ישירות</t>
        </is>
      </c>
      <c r="D104" s="11" t="inlineStr">
        <is>
          <t>הוצאות תפעול</t>
        </is>
      </c>
      <c r="E104" s="11" t="inlineStr">
        <is>
          <t>כיבודים ואירוח</t>
        </is>
      </c>
      <c r="F104" s="12" t="n">
        <v>2270</v>
      </c>
    </row>
    <row r="105">
      <c r="A105" s="11" t="inlineStr">
        <is>
          <t>מרץ</t>
        </is>
      </c>
      <c r="B105" s="11" t="n">
        <v>3</v>
      </c>
      <c r="C105" s="11" t="inlineStr">
        <is>
          <t>ערוץ מפיצים</t>
        </is>
      </c>
      <c r="D105" s="11" t="inlineStr">
        <is>
          <t>הוצאות תפעול</t>
        </is>
      </c>
      <c r="E105" s="11" t="inlineStr">
        <is>
          <t>כיבודים ואירוח</t>
        </is>
      </c>
      <c r="F105" s="12" t="n">
        <v>1238</v>
      </c>
    </row>
    <row r="106">
      <c r="A106" s="11" t="inlineStr">
        <is>
          <t>מרץ</t>
        </is>
      </c>
      <c r="B106" s="11" t="n">
        <v>3</v>
      </c>
      <c r="C106" s="11" t="inlineStr">
        <is>
          <t>שירות ותמיכה</t>
        </is>
      </c>
      <c r="D106" s="11" t="inlineStr">
        <is>
          <t>הוצאות תפעול</t>
        </is>
      </c>
      <c r="E106" s="11" t="inlineStr">
        <is>
          <t>כיבודים ואירוח</t>
        </is>
      </c>
      <c r="F106" s="12" t="n">
        <v>619</v>
      </c>
    </row>
    <row r="107">
      <c r="A107" s="11" t="inlineStr">
        <is>
          <t>מרץ</t>
        </is>
      </c>
      <c r="B107" s="11" t="n">
        <v>3</v>
      </c>
      <c r="C107" s="11" t="inlineStr">
        <is>
          <t>מכירות ישירות</t>
        </is>
      </c>
      <c r="D107" s="11" t="inlineStr">
        <is>
          <t>הוצאות תפעול</t>
        </is>
      </c>
      <c r="E107" s="11" t="inlineStr">
        <is>
          <t>הוצאות משרד</t>
        </is>
      </c>
      <c r="F107" s="12" t="n">
        <v>5960</v>
      </c>
    </row>
    <row r="108">
      <c r="A108" s="11" t="inlineStr">
        <is>
          <t>מרץ</t>
        </is>
      </c>
      <c r="B108" s="11" t="n">
        <v>3</v>
      </c>
      <c r="C108" s="11" t="inlineStr">
        <is>
          <t>ערוץ מפיצים</t>
        </is>
      </c>
      <c r="D108" s="11" t="inlineStr">
        <is>
          <t>הוצאות תפעול</t>
        </is>
      </c>
      <c r="E108" s="11" t="inlineStr">
        <is>
          <t>הוצאות משרד</t>
        </is>
      </c>
      <c r="F108" s="12" t="n">
        <v>3251</v>
      </c>
    </row>
    <row r="109">
      <c r="A109" s="11" t="inlineStr">
        <is>
          <t>מרץ</t>
        </is>
      </c>
      <c r="B109" s="11" t="n">
        <v>3</v>
      </c>
      <c r="C109" s="11" t="inlineStr">
        <is>
          <t>שירות ותמיכה</t>
        </is>
      </c>
      <c r="D109" s="11" t="inlineStr">
        <is>
          <t>הוצאות תפעול</t>
        </is>
      </c>
      <c r="E109" s="11" t="inlineStr">
        <is>
          <t>הוצאות משרד</t>
        </is>
      </c>
      <c r="F109" s="12" t="n">
        <v>1625</v>
      </c>
    </row>
    <row r="110">
      <c r="A110" s="11" t="inlineStr">
        <is>
          <t>מרץ</t>
        </is>
      </c>
      <c r="B110" s="11" t="n">
        <v>3</v>
      </c>
      <c r="C110" s="11" t="inlineStr">
        <is>
          <t>מכירות ישירות</t>
        </is>
      </c>
      <c r="D110" s="11" t="inlineStr">
        <is>
          <t>הוצאות תפעול</t>
        </is>
      </c>
      <c r="E110" s="11" t="inlineStr">
        <is>
          <t>עמלות סליקה</t>
        </is>
      </c>
      <c r="F110" s="12" t="n">
        <v>7190</v>
      </c>
    </row>
    <row r="111">
      <c r="A111" s="11" t="inlineStr">
        <is>
          <t>מרץ</t>
        </is>
      </c>
      <c r="B111" s="11" t="n">
        <v>3</v>
      </c>
      <c r="C111" s="11" t="inlineStr">
        <is>
          <t>ערוץ מפיצים</t>
        </is>
      </c>
      <c r="D111" s="11" t="inlineStr">
        <is>
          <t>הוצאות תפעול</t>
        </is>
      </c>
      <c r="E111" s="11" t="inlineStr">
        <is>
          <t>עמלות סליקה</t>
        </is>
      </c>
      <c r="F111" s="12" t="n">
        <v>3922</v>
      </c>
    </row>
    <row r="112">
      <c r="A112" s="11" t="inlineStr">
        <is>
          <t>מרץ</t>
        </is>
      </c>
      <c r="B112" s="11" t="n">
        <v>3</v>
      </c>
      <c r="C112" s="11" t="inlineStr">
        <is>
          <t>שירות ותמיכה</t>
        </is>
      </c>
      <c r="D112" s="11" t="inlineStr">
        <is>
          <t>הוצאות תפעול</t>
        </is>
      </c>
      <c r="E112" s="11" t="inlineStr">
        <is>
          <t>עמלות סליקה</t>
        </is>
      </c>
      <c r="F112" s="12" t="n">
        <v>1961</v>
      </c>
    </row>
    <row r="113">
      <c r="A113" s="11" t="inlineStr">
        <is>
          <t>מרץ</t>
        </is>
      </c>
      <c r="B113" s="11" t="n">
        <v>3</v>
      </c>
      <c r="C113" s="11" t="inlineStr">
        <is>
          <t>מכירות ישירות</t>
        </is>
      </c>
      <c r="D113" s="11" t="inlineStr">
        <is>
          <t>הוצאות תפעול</t>
        </is>
      </c>
      <c r="E113" s="11" t="inlineStr">
        <is>
          <t>ייעוץ מקצועי</t>
        </is>
      </c>
      <c r="F113" s="12" t="n">
        <v>5581</v>
      </c>
    </row>
    <row r="114">
      <c r="A114" s="11" t="inlineStr">
        <is>
          <t>מרץ</t>
        </is>
      </c>
      <c r="B114" s="11" t="n">
        <v>3</v>
      </c>
      <c r="C114" s="11" t="inlineStr">
        <is>
          <t>ערוץ מפיצים</t>
        </is>
      </c>
      <c r="D114" s="11" t="inlineStr">
        <is>
          <t>הוצאות תפעול</t>
        </is>
      </c>
      <c r="E114" s="11" t="inlineStr">
        <is>
          <t>ייעוץ מקצועי</t>
        </is>
      </c>
      <c r="F114" s="12" t="n">
        <v>3044</v>
      </c>
    </row>
    <row r="115">
      <c r="A115" s="11" t="inlineStr">
        <is>
          <t>מרץ</t>
        </is>
      </c>
      <c r="B115" s="11" t="n">
        <v>3</v>
      </c>
      <c r="C115" s="11" t="inlineStr">
        <is>
          <t>שירות ותמיכה</t>
        </is>
      </c>
      <c r="D115" s="11" t="inlineStr">
        <is>
          <t>הוצאות תפעול</t>
        </is>
      </c>
      <c r="E115" s="11" t="inlineStr">
        <is>
          <t>ייעוץ מקצועי</t>
        </is>
      </c>
      <c r="F115" s="12" t="n">
        <v>1522</v>
      </c>
    </row>
    <row r="116">
      <c r="A116" s="11" t="inlineStr">
        <is>
          <t>מרץ</t>
        </is>
      </c>
      <c r="B116" s="11" t="n">
        <v>3</v>
      </c>
      <c r="C116" s="11" t="inlineStr">
        <is>
          <t>מכירות ישירות</t>
        </is>
      </c>
      <c r="D116" s="11" t="inlineStr">
        <is>
          <t>הוצאות תפעול</t>
        </is>
      </c>
      <c r="E116" s="11" t="inlineStr">
        <is>
          <t>פחת</t>
        </is>
      </c>
      <c r="F116" s="12" t="n">
        <v>5263</v>
      </c>
    </row>
    <row r="117">
      <c r="A117" s="11" t="inlineStr">
        <is>
          <t>מרץ</t>
        </is>
      </c>
      <c r="B117" s="11" t="n">
        <v>3</v>
      </c>
      <c r="C117" s="11" t="inlineStr">
        <is>
          <t>ערוץ מפיצים</t>
        </is>
      </c>
      <c r="D117" s="11" t="inlineStr">
        <is>
          <t>הוצאות תפעול</t>
        </is>
      </c>
      <c r="E117" s="11" t="inlineStr">
        <is>
          <t>פחת</t>
        </is>
      </c>
      <c r="F117" s="12" t="n">
        <v>5108</v>
      </c>
    </row>
    <row r="118">
      <c r="A118" s="11" t="inlineStr">
        <is>
          <t>מרץ</t>
        </is>
      </c>
      <c r="B118" s="11" t="n">
        <v>3</v>
      </c>
      <c r="C118" s="11" t="inlineStr">
        <is>
          <t>שירות ותמיכה</t>
        </is>
      </c>
      <c r="D118" s="11" t="inlineStr">
        <is>
          <t>הוצאות תפעול</t>
        </is>
      </c>
      <c r="E118" s="11" t="inlineStr">
        <is>
          <t>פחת</t>
        </is>
      </c>
      <c r="F118" s="12" t="n">
        <v>5108</v>
      </c>
    </row>
    <row r="119">
      <c r="A119" s="11" t="inlineStr">
        <is>
          <t>מרץ</t>
        </is>
      </c>
      <c r="B119" s="11" t="n">
        <v>3</v>
      </c>
      <c r="C119" s="11" t="inlineStr">
        <is>
          <t>מכירות ישירות</t>
        </is>
      </c>
      <c r="D119" s="11" t="inlineStr">
        <is>
          <t>הוצאות תפעול</t>
        </is>
      </c>
      <c r="E119" s="11" t="inlineStr">
        <is>
          <t>הוצאות מימון</t>
        </is>
      </c>
      <c r="F119" s="12" t="n">
        <v>2807</v>
      </c>
    </row>
    <row r="120">
      <c r="A120" s="11" t="inlineStr">
        <is>
          <t>מרץ</t>
        </is>
      </c>
      <c r="B120" s="11" t="n">
        <v>3</v>
      </c>
      <c r="C120" s="11" t="inlineStr">
        <is>
          <t>ערוץ מפיצים</t>
        </is>
      </c>
      <c r="D120" s="11" t="inlineStr">
        <is>
          <t>הוצאות תפעול</t>
        </is>
      </c>
      <c r="E120" s="11" t="inlineStr">
        <is>
          <t>הוצאות מימון</t>
        </is>
      </c>
      <c r="F120" s="12" t="n">
        <v>2724</v>
      </c>
    </row>
    <row r="121">
      <c r="A121" s="11" t="inlineStr">
        <is>
          <t>מרץ</t>
        </is>
      </c>
      <c r="B121" s="11" t="n">
        <v>3</v>
      </c>
      <c r="C121" s="11" t="inlineStr">
        <is>
          <t>שירות ותמיכה</t>
        </is>
      </c>
      <c r="D121" s="11" t="inlineStr">
        <is>
          <t>הוצאות תפעול</t>
        </is>
      </c>
      <c r="E121" s="11" t="inlineStr">
        <is>
          <t>הוצאות מימון</t>
        </is>
      </c>
      <c r="F121" s="12" t="n">
        <v>2724</v>
      </c>
    </row>
    <row r="122">
      <c r="A122" s="11" t="inlineStr">
        <is>
          <t>אפריל</t>
        </is>
      </c>
      <c r="B122" s="11" t="n">
        <v>4</v>
      </c>
      <c r="C122" s="11" t="inlineStr">
        <is>
          <t>מכירות ישירות</t>
        </is>
      </c>
      <c r="D122" s="11" t="inlineStr">
        <is>
          <t>הכנסות</t>
        </is>
      </c>
      <c r="E122" s="11" t="inlineStr">
        <is>
          <t>הכנסות ממכירות</t>
        </is>
      </c>
      <c r="F122" s="12" t="n">
        <v>538780</v>
      </c>
    </row>
    <row r="123">
      <c r="A123" s="11" t="inlineStr">
        <is>
          <t>אפריל</t>
        </is>
      </c>
      <c r="B123" s="11" t="n">
        <v>4</v>
      </c>
      <c r="C123" s="11" t="inlineStr">
        <is>
          <t>ערוץ מפיצים</t>
        </is>
      </c>
      <c r="D123" s="11" t="inlineStr">
        <is>
          <t>הכנסות</t>
        </is>
      </c>
      <c r="E123" s="11" t="inlineStr">
        <is>
          <t>הכנסות ממכירות</t>
        </is>
      </c>
      <c r="F123" s="12" t="n">
        <v>293880</v>
      </c>
    </row>
    <row r="124">
      <c r="A124" s="11" t="inlineStr">
        <is>
          <t>אפריל</t>
        </is>
      </c>
      <c r="B124" s="11" t="n">
        <v>4</v>
      </c>
      <c r="C124" s="11" t="inlineStr">
        <is>
          <t>שירות ותמיכה</t>
        </is>
      </c>
      <c r="D124" s="11" t="inlineStr">
        <is>
          <t>הכנסות</t>
        </is>
      </c>
      <c r="E124" s="11" t="inlineStr">
        <is>
          <t>הכנסות ממכירות</t>
        </is>
      </c>
      <c r="F124" s="12" t="n">
        <v>146940</v>
      </c>
    </row>
    <row r="125">
      <c r="A125" s="11" t="inlineStr">
        <is>
          <t>אפריל</t>
        </is>
      </c>
      <c r="B125" s="11" t="n">
        <v>4</v>
      </c>
      <c r="C125" s="11" t="inlineStr">
        <is>
          <t>מכירות ישירות</t>
        </is>
      </c>
      <c r="D125" s="11" t="inlineStr">
        <is>
          <t>הכנסות</t>
        </is>
      </c>
      <c r="E125" s="11" t="inlineStr">
        <is>
          <t>הכנסות משירות</t>
        </is>
      </c>
      <c r="F125" s="12" t="n">
        <v>4542</v>
      </c>
    </row>
    <row r="126">
      <c r="A126" s="11" t="inlineStr">
        <is>
          <t>אפריל</t>
        </is>
      </c>
      <c r="B126" s="11" t="n">
        <v>4</v>
      </c>
      <c r="C126" s="11" t="inlineStr">
        <is>
          <t>ערוץ מפיצים</t>
        </is>
      </c>
      <c r="D126" s="11" t="inlineStr">
        <is>
          <t>הכנסות</t>
        </is>
      </c>
      <c r="E126" s="11" t="inlineStr">
        <is>
          <t>הכנסות משירות</t>
        </is>
      </c>
      <c r="F126" s="12" t="n">
        <v>4542</v>
      </c>
    </row>
    <row r="127">
      <c r="A127" s="11" t="inlineStr">
        <is>
          <t>אפריל</t>
        </is>
      </c>
      <c r="B127" s="11" t="n">
        <v>4</v>
      </c>
      <c r="C127" s="11" t="inlineStr">
        <is>
          <t>שירות ותמיכה</t>
        </is>
      </c>
      <c r="D127" s="11" t="inlineStr">
        <is>
          <t>הכנסות</t>
        </is>
      </c>
      <c r="E127" s="11" t="inlineStr">
        <is>
          <t>הכנסות משירות</t>
        </is>
      </c>
      <c r="F127" s="12" t="n">
        <v>81765</v>
      </c>
    </row>
    <row r="128">
      <c r="A128" s="11" t="inlineStr">
        <is>
          <t>אפריל</t>
        </is>
      </c>
      <c r="B128" s="11" t="n">
        <v>4</v>
      </c>
      <c r="C128" s="11" t="inlineStr">
        <is>
          <t>מכירות ישירות</t>
        </is>
      </c>
      <c r="D128" s="11" t="inlineStr">
        <is>
          <t>עלות המכר</t>
        </is>
      </c>
      <c r="E128" s="11" t="inlineStr">
        <is>
          <t>עלות המכר</t>
        </is>
      </c>
      <c r="F128" s="12" t="n">
        <v>350207</v>
      </c>
    </row>
    <row r="129">
      <c r="A129" s="11" t="inlineStr">
        <is>
          <t>אפריל</t>
        </is>
      </c>
      <c r="B129" s="11" t="n">
        <v>4</v>
      </c>
      <c r="C129" s="11" t="inlineStr">
        <is>
          <t>ערוץ מפיצים</t>
        </is>
      </c>
      <c r="D129" s="11" t="inlineStr">
        <is>
          <t>עלות המכר</t>
        </is>
      </c>
      <c r="E129" s="11" t="inlineStr">
        <is>
          <t>עלות המכר</t>
        </is>
      </c>
      <c r="F129" s="12" t="n">
        <v>191022</v>
      </c>
    </row>
    <row r="130">
      <c r="A130" s="11" t="inlineStr">
        <is>
          <t>אפריל</t>
        </is>
      </c>
      <c r="B130" s="11" t="n">
        <v>4</v>
      </c>
      <c r="C130" s="11" t="inlineStr">
        <is>
          <t>שירות ותמיכה</t>
        </is>
      </c>
      <c r="D130" s="11" t="inlineStr">
        <is>
          <t>עלות המכר</t>
        </is>
      </c>
      <c r="E130" s="11" t="inlineStr">
        <is>
          <t>עלות המכר</t>
        </is>
      </c>
      <c r="F130" s="12" t="n">
        <v>95511</v>
      </c>
    </row>
    <row r="131">
      <c r="A131" s="11" t="inlineStr">
        <is>
          <t>אפריל</t>
        </is>
      </c>
      <c r="B131" s="11" t="n">
        <v>4</v>
      </c>
      <c r="C131" s="11" t="inlineStr">
        <is>
          <t>מכירות ישירות</t>
        </is>
      </c>
      <c r="D131" s="11" t="inlineStr">
        <is>
          <t>הוצאות תפעול</t>
        </is>
      </c>
      <c r="E131" s="11" t="inlineStr">
        <is>
          <t>שכר ונלוות</t>
        </is>
      </c>
      <c r="F131" s="12" t="n">
        <v>89072</v>
      </c>
    </row>
    <row r="132">
      <c r="A132" s="11" t="inlineStr">
        <is>
          <t>אפריל</t>
        </is>
      </c>
      <c r="B132" s="11" t="n">
        <v>4</v>
      </c>
      <c r="C132" s="11" t="inlineStr">
        <is>
          <t>ערוץ מפיצים</t>
        </is>
      </c>
      <c r="D132" s="11" t="inlineStr">
        <is>
          <t>הוצאות תפעול</t>
        </is>
      </c>
      <c r="E132" s="11" t="inlineStr">
        <is>
          <t>שכר ונלוות</t>
        </is>
      </c>
      <c r="F132" s="12" t="n">
        <v>48585</v>
      </c>
    </row>
    <row r="133">
      <c r="A133" s="11" t="inlineStr">
        <is>
          <t>אפריל</t>
        </is>
      </c>
      <c r="B133" s="11" t="n">
        <v>4</v>
      </c>
      <c r="C133" s="11" t="inlineStr">
        <is>
          <t>שירות ותמיכה</t>
        </is>
      </c>
      <c r="D133" s="11" t="inlineStr">
        <is>
          <t>הוצאות תפעול</t>
        </is>
      </c>
      <c r="E133" s="11" t="inlineStr">
        <is>
          <t>שכר ונלוות</t>
        </is>
      </c>
      <c r="F133" s="12" t="n">
        <v>24292</v>
      </c>
    </row>
    <row r="134">
      <c r="A134" s="11" t="inlineStr">
        <is>
          <t>אפריל</t>
        </is>
      </c>
      <c r="B134" s="11" t="n">
        <v>4</v>
      </c>
      <c r="C134" s="11" t="inlineStr">
        <is>
          <t>מכירות ישירות</t>
        </is>
      </c>
      <c r="D134" s="11" t="inlineStr">
        <is>
          <t>הוצאות תפעול</t>
        </is>
      </c>
      <c r="E134" s="11" t="inlineStr">
        <is>
          <t>שכר דירה ואחזקה</t>
        </is>
      </c>
      <c r="F134" s="12" t="n">
        <v>10637</v>
      </c>
    </row>
    <row r="135">
      <c r="A135" s="11" t="inlineStr">
        <is>
          <t>אפריל</t>
        </is>
      </c>
      <c r="B135" s="11" t="n">
        <v>4</v>
      </c>
      <c r="C135" s="11" t="inlineStr">
        <is>
          <t>ערוץ מפיצים</t>
        </is>
      </c>
      <c r="D135" s="11" t="inlineStr">
        <is>
          <t>הוצאות תפעול</t>
        </is>
      </c>
      <c r="E135" s="11" t="inlineStr">
        <is>
          <t>שכר דירה ואחזקה</t>
        </is>
      </c>
      <c r="F135" s="12" t="n">
        <v>10324</v>
      </c>
    </row>
    <row r="136">
      <c r="A136" s="11" t="inlineStr">
        <is>
          <t>אפריל</t>
        </is>
      </c>
      <c r="B136" s="11" t="n">
        <v>4</v>
      </c>
      <c r="C136" s="11" t="inlineStr">
        <is>
          <t>שירות ותמיכה</t>
        </is>
      </c>
      <c r="D136" s="11" t="inlineStr">
        <is>
          <t>הוצאות תפעול</t>
        </is>
      </c>
      <c r="E136" s="11" t="inlineStr">
        <is>
          <t>שכר דירה ואחזקה</t>
        </is>
      </c>
      <c r="F136" s="12" t="n">
        <v>10324</v>
      </c>
    </row>
    <row r="137">
      <c r="A137" s="11" t="inlineStr">
        <is>
          <t>אפריל</t>
        </is>
      </c>
      <c r="B137" s="11" t="n">
        <v>4</v>
      </c>
      <c r="C137" s="11" t="inlineStr">
        <is>
          <t>מכירות ישירות</t>
        </is>
      </c>
      <c r="D137" s="11" t="inlineStr">
        <is>
          <t>הוצאות תפעול</t>
        </is>
      </c>
      <c r="E137" s="11" t="inlineStr">
        <is>
          <t>הוצאות רכב</t>
        </is>
      </c>
      <c r="F137" s="12" t="n">
        <v>9298</v>
      </c>
    </row>
    <row r="138">
      <c r="A138" s="11" t="inlineStr">
        <is>
          <t>אפריל</t>
        </is>
      </c>
      <c r="B138" s="11" t="n">
        <v>4</v>
      </c>
      <c r="C138" s="11" t="inlineStr">
        <is>
          <t>ערוץ מפיצים</t>
        </is>
      </c>
      <c r="D138" s="11" t="inlineStr">
        <is>
          <t>הוצאות תפעול</t>
        </is>
      </c>
      <c r="E138" s="11" t="inlineStr">
        <is>
          <t>הוצאות רכב</t>
        </is>
      </c>
      <c r="F138" s="12" t="n">
        <v>5072</v>
      </c>
    </row>
    <row r="139">
      <c r="A139" s="11" t="inlineStr">
        <is>
          <t>אפריל</t>
        </is>
      </c>
      <c r="B139" s="11" t="n">
        <v>4</v>
      </c>
      <c r="C139" s="11" t="inlineStr">
        <is>
          <t>שירות ותמיכה</t>
        </is>
      </c>
      <c r="D139" s="11" t="inlineStr">
        <is>
          <t>הוצאות תפעול</t>
        </is>
      </c>
      <c r="E139" s="11" t="inlineStr">
        <is>
          <t>הוצאות רכב</t>
        </is>
      </c>
      <c r="F139" s="12" t="n">
        <v>2536</v>
      </c>
    </row>
    <row r="140">
      <c r="A140" s="11" t="inlineStr">
        <is>
          <t>אפריל</t>
        </is>
      </c>
      <c r="B140" s="11" t="n">
        <v>4</v>
      </c>
      <c r="C140" s="11" t="inlineStr">
        <is>
          <t>מכירות ישירות</t>
        </is>
      </c>
      <c r="D140" s="11" t="inlineStr">
        <is>
          <t>הוצאות תפעול</t>
        </is>
      </c>
      <c r="E140" s="11" t="inlineStr">
        <is>
          <t>פרסום ושיווק</t>
        </is>
      </c>
      <c r="F140" s="12" t="n">
        <v>14339</v>
      </c>
    </row>
    <row r="141">
      <c r="A141" s="11" t="inlineStr">
        <is>
          <t>אפריל</t>
        </is>
      </c>
      <c r="B141" s="11" t="n">
        <v>4</v>
      </c>
      <c r="C141" s="11" t="inlineStr">
        <is>
          <t>ערוץ מפיצים</t>
        </is>
      </c>
      <c r="D141" s="11" t="inlineStr">
        <is>
          <t>הוצאות תפעול</t>
        </is>
      </c>
      <c r="E141" s="11" t="inlineStr">
        <is>
          <t>פרסום ושיווק</t>
        </is>
      </c>
      <c r="F141" s="12" t="n">
        <v>7821</v>
      </c>
    </row>
    <row r="142">
      <c r="A142" s="11" t="inlineStr">
        <is>
          <t>אפריל</t>
        </is>
      </c>
      <c r="B142" s="11" t="n">
        <v>4</v>
      </c>
      <c r="C142" s="11" t="inlineStr">
        <is>
          <t>שירות ותמיכה</t>
        </is>
      </c>
      <c r="D142" s="11" t="inlineStr">
        <is>
          <t>הוצאות תפעול</t>
        </is>
      </c>
      <c r="E142" s="11" t="inlineStr">
        <is>
          <t>פרסום ושיווק</t>
        </is>
      </c>
      <c r="F142" s="12" t="n">
        <v>3910</v>
      </c>
    </row>
    <row r="143">
      <c r="A143" s="11" t="inlineStr">
        <is>
          <t>אפריל</t>
        </is>
      </c>
      <c r="B143" s="11" t="n">
        <v>4</v>
      </c>
      <c r="C143" s="11" t="inlineStr">
        <is>
          <t>מכירות ישירות</t>
        </is>
      </c>
      <c r="D143" s="11" t="inlineStr">
        <is>
          <t>הוצאות תפעול</t>
        </is>
      </c>
      <c r="E143" s="11" t="inlineStr">
        <is>
          <t>כיבודים ואירוח</t>
        </is>
      </c>
      <c r="F143" s="12" t="n">
        <v>2086</v>
      </c>
    </row>
    <row r="144">
      <c r="A144" s="11" t="inlineStr">
        <is>
          <t>אפריל</t>
        </is>
      </c>
      <c r="B144" s="11" t="n">
        <v>4</v>
      </c>
      <c r="C144" s="11" t="inlineStr">
        <is>
          <t>ערוץ מפיצים</t>
        </is>
      </c>
      <c r="D144" s="11" t="inlineStr">
        <is>
          <t>הוצאות תפעול</t>
        </is>
      </c>
      <c r="E144" s="11" t="inlineStr">
        <is>
          <t>כיבודים ואירוח</t>
        </is>
      </c>
      <c r="F144" s="12" t="n">
        <v>1138</v>
      </c>
    </row>
    <row r="145">
      <c r="A145" s="11" t="inlineStr">
        <is>
          <t>אפריל</t>
        </is>
      </c>
      <c r="B145" s="11" t="n">
        <v>4</v>
      </c>
      <c r="C145" s="11" t="inlineStr">
        <is>
          <t>שירות ותמיכה</t>
        </is>
      </c>
      <c r="D145" s="11" t="inlineStr">
        <is>
          <t>הוצאות תפעול</t>
        </is>
      </c>
      <c r="E145" s="11" t="inlineStr">
        <is>
          <t>כיבודים ואירוח</t>
        </is>
      </c>
      <c r="F145" s="12" t="n">
        <v>569</v>
      </c>
    </row>
    <row r="146">
      <c r="A146" s="11" t="inlineStr">
        <is>
          <t>אפריל</t>
        </is>
      </c>
      <c r="B146" s="11" t="n">
        <v>4</v>
      </c>
      <c r="C146" s="11" t="inlineStr">
        <is>
          <t>מכירות ישירות</t>
        </is>
      </c>
      <c r="D146" s="11" t="inlineStr">
        <is>
          <t>הוצאות תפעול</t>
        </is>
      </c>
      <c r="E146" s="11" t="inlineStr">
        <is>
          <t>הוצאות משרד</t>
        </is>
      </c>
      <c r="F146" s="12" t="n">
        <v>5475</v>
      </c>
    </row>
    <row r="147">
      <c r="A147" s="11" t="inlineStr">
        <is>
          <t>אפריל</t>
        </is>
      </c>
      <c r="B147" s="11" t="n">
        <v>4</v>
      </c>
      <c r="C147" s="11" t="inlineStr">
        <is>
          <t>ערוץ מפיצים</t>
        </is>
      </c>
      <c r="D147" s="11" t="inlineStr">
        <is>
          <t>הוצאות תפעול</t>
        </is>
      </c>
      <c r="E147" s="11" t="inlineStr">
        <is>
          <t>הוצאות משרד</t>
        </is>
      </c>
      <c r="F147" s="12" t="n">
        <v>2986</v>
      </c>
    </row>
    <row r="148">
      <c r="A148" s="11" t="inlineStr">
        <is>
          <t>אפריל</t>
        </is>
      </c>
      <c r="B148" s="11" t="n">
        <v>4</v>
      </c>
      <c r="C148" s="11" t="inlineStr">
        <is>
          <t>שירות ותמיכה</t>
        </is>
      </c>
      <c r="D148" s="11" t="inlineStr">
        <is>
          <t>הוצאות תפעול</t>
        </is>
      </c>
      <c r="E148" s="11" t="inlineStr">
        <is>
          <t>הוצאות משרד</t>
        </is>
      </c>
      <c r="F148" s="12" t="n">
        <v>1493</v>
      </c>
    </row>
    <row r="149">
      <c r="A149" s="11" t="inlineStr">
        <is>
          <t>אפריל</t>
        </is>
      </c>
      <c r="B149" s="11" t="n">
        <v>4</v>
      </c>
      <c r="C149" s="11" t="inlineStr">
        <is>
          <t>מכירות ישירות</t>
        </is>
      </c>
      <c r="D149" s="11" t="inlineStr">
        <is>
          <t>הוצאות תפעול</t>
        </is>
      </c>
      <c r="E149" s="11" t="inlineStr">
        <is>
          <t>עמלות סליקה</t>
        </is>
      </c>
      <c r="F149" s="12" t="n">
        <v>6604</v>
      </c>
    </row>
    <row r="150">
      <c r="A150" s="11" t="inlineStr">
        <is>
          <t>אפריל</t>
        </is>
      </c>
      <c r="B150" s="11" t="n">
        <v>4</v>
      </c>
      <c r="C150" s="11" t="inlineStr">
        <is>
          <t>ערוץ מפיצים</t>
        </is>
      </c>
      <c r="D150" s="11" t="inlineStr">
        <is>
          <t>הוצאות תפעול</t>
        </is>
      </c>
      <c r="E150" s="11" t="inlineStr">
        <is>
          <t>עמלות סליקה</t>
        </is>
      </c>
      <c r="F150" s="12" t="n">
        <v>3602</v>
      </c>
    </row>
    <row r="151">
      <c r="A151" s="11" t="inlineStr">
        <is>
          <t>אפריל</t>
        </is>
      </c>
      <c r="B151" s="11" t="n">
        <v>4</v>
      </c>
      <c r="C151" s="11" t="inlineStr">
        <is>
          <t>שירות ותמיכה</t>
        </is>
      </c>
      <c r="D151" s="11" t="inlineStr">
        <is>
          <t>הוצאות תפעול</t>
        </is>
      </c>
      <c r="E151" s="11" t="inlineStr">
        <is>
          <t>עמלות סליקה</t>
        </is>
      </c>
      <c r="F151" s="12" t="n">
        <v>1801</v>
      </c>
    </row>
    <row r="152">
      <c r="A152" s="11" t="inlineStr">
        <is>
          <t>אפריל</t>
        </is>
      </c>
      <c r="B152" s="11" t="n">
        <v>4</v>
      </c>
      <c r="C152" s="11" t="inlineStr">
        <is>
          <t>מכירות ישירות</t>
        </is>
      </c>
      <c r="D152" s="11" t="inlineStr">
        <is>
          <t>הוצאות תפעול</t>
        </is>
      </c>
      <c r="E152" s="11" t="inlineStr">
        <is>
          <t>ייעוץ מקצועי</t>
        </is>
      </c>
      <c r="F152" s="12" t="n">
        <v>5127</v>
      </c>
    </row>
    <row r="153">
      <c r="A153" s="11" t="inlineStr">
        <is>
          <t>אפריל</t>
        </is>
      </c>
      <c r="B153" s="11" t="n">
        <v>4</v>
      </c>
      <c r="C153" s="11" t="inlineStr">
        <is>
          <t>ערוץ מפיצים</t>
        </is>
      </c>
      <c r="D153" s="11" t="inlineStr">
        <is>
          <t>הוצאות תפעול</t>
        </is>
      </c>
      <c r="E153" s="11" t="inlineStr">
        <is>
          <t>ייעוץ מקצועי</t>
        </is>
      </c>
      <c r="F153" s="12" t="n">
        <v>2797</v>
      </c>
    </row>
    <row r="154">
      <c r="A154" s="11" t="inlineStr">
        <is>
          <t>אפריל</t>
        </is>
      </c>
      <c r="B154" s="11" t="n">
        <v>4</v>
      </c>
      <c r="C154" s="11" t="inlineStr">
        <is>
          <t>שירות ותמיכה</t>
        </is>
      </c>
      <c r="D154" s="11" t="inlineStr">
        <is>
          <t>הוצאות תפעול</t>
        </is>
      </c>
      <c r="E154" s="11" t="inlineStr">
        <is>
          <t>ייעוץ מקצועי</t>
        </is>
      </c>
      <c r="F154" s="12" t="n">
        <v>1398</v>
      </c>
    </row>
    <row r="155">
      <c r="A155" s="11" t="inlineStr">
        <is>
          <t>אפריל</t>
        </is>
      </c>
      <c r="B155" s="11" t="n">
        <v>4</v>
      </c>
      <c r="C155" s="11" t="inlineStr">
        <is>
          <t>מכירות ישירות</t>
        </is>
      </c>
      <c r="D155" s="11" t="inlineStr">
        <is>
          <t>הוצאות תפעול</t>
        </is>
      </c>
      <c r="E155" s="11" t="inlineStr">
        <is>
          <t>פחת</t>
        </is>
      </c>
      <c r="F155" s="12" t="n">
        <v>4835</v>
      </c>
    </row>
    <row r="156">
      <c r="A156" s="11" t="inlineStr">
        <is>
          <t>אפריל</t>
        </is>
      </c>
      <c r="B156" s="11" t="n">
        <v>4</v>
      </c>
      <c r="C156" s="11" t="inlineStr">
        <is>
          <t>ערוץ מפיצים</t>
        </is>
      </c>
      <c r="D156" s="11" t="inlineStr">
        <is>
          <t>הוצאות תפעול</t>
        </is>
      </c>
      <c r="E156" s="11" t="inlineStr">
        <is>
          <t>פחת</t>
        </is>
      </c>
      <c r="F156" s="12" t="n">
        <v>4693</v>
      </c>
    </row>
    <row r="157">
      <c r="A157" s="11" t="inlineStr">
        <is>
          <t>אפריל</t>
        </is>
      </c>
      <c r="B157" s="11" t="n">
        <v>4</v>
      </c>
      <c r="C157" s="11" t="inlineStr">
        <is>
          <t>שירות ותמיכה</t>
        </is>
      </c>
      <c r="D157" s="11" t="inlineStr">
        <is>
          <t>הוצאות תפעול</t>
        </is>
      </c>
      <c r="E157" s="11" t="inlineStr">
        <is>
          <t>פחת</t>
        </is>
      </c>
      <c r="F157" s="12" t="n">
        <v>4693</v>
      </c>
    </row>
    <row r="158">
      <c r="A158" s="11" t="inlineStr">
        <is>
          <t>אפריל</t>
        </is>
      </c>
      <c r="B158" s="11" t="n">
        <v>4</v>
      </c>
      <c r="C158" s="11" t="inlineStr">
        <is>
          <t>מכירות ישירות</t>
        </is>
      </c>
      <c r="D158" s="11" t="inlineStr">
        <is>
          <t>הוצאות תפעול</t>
        </is>
      </c>
      <c r="E158" s="11" t="inlineStr">
        <is>
          <t>הוצאות מימון</t>
        </is>
      </c>
      <c r="F158" s="12" t="n">
        <v>2579</v>
      </c>
    </row>
    <row r="159">
      <c r="A159" s="11" t="inlineStr">
        <is>
          <t>אפריל</t>
        </is>
      </c>
      <c r="B159" s="11" t="n">
        <v>4</v>
      </c>
      <c r="C159" s="11" t="inlineStr">
        <is>
          <t>ערוץ מפיצים</t>
        </is>
      </c>
      <c r="D159" s="11" t="inlineStr">
        <is>
          <t>הוצאות תפעול</t>
        </is>
      </c>
      <c r="E159" s="11" t="inlineStr">
        <is>
          <t>הוצאות מימון</t>
        </is>
      </c>
      <c r="F159" s="12" t="n">
        <v>2503</v>
      </c>
    </row>
    <row r="160">
      <c r="A160" s="11" t="inlineStr">
        <is>
          <t>אפריל</t>
        </is>
      </c>
      <c r="B160" s="11" t="n">
        <v>4</v>
      </c>
      <c r="C160" s="11" t="inlineStr">
        <is>
          <t>שירות ותמיכה</t>
        </is>
      </c>
      <c r="D160" s="11" t="inlineStr">
        <is>
          <t>הוצאות תפעול</t>
        </is>
      </c>
      <c r="E160" s="11" t="inlineStr">
        <is>
          <t>הוצאות מימון</t>
        </is>
      </c>
      <c r="F160" s="12" t="n">
        <v>2503</v>
      </c>
    </row>
    <row r="161">
      <c r="A161" s="11" t="inlineStr">
        <is>
          <t>מאי</t>
        </is>
      </c>
      <c r="B161" s="11" t="n">
        <v>5</v>
      </c>
      <c r="C161" s="11" t="inlineStr">
        <is>
          <t>מכירות ישירות</t>
        </is>
      </c>
      <c r="D161" s="11" t="inlineStr">
        <is>
          <t>הכנסות</t>
        </is>
      </c>
      <c r="E161" s="11" t="inlineStr">
        <is>
          <t>הכנסות ממכירות</t>
        </is>
      </c>
      <c r="F161" s="12" t="n">
        <v>566060</v>
      </c>
    </row>
    <row r="162">
      <c r="A162" s="11" t="inlineStr">
        <is>
          <t>מאי</t>
        </is>
      </c>
      <c r="B162" s="11" t="n">
        <v>5</v>
      </c>
      <c r="C162" s="11" t="inlineStr">
        <is>
          <t>ערוץ מפיצים</t>
        </is>
      </c>
      <c r="D162" s="11" t="inlineStr">
        <is>
          <t>הכנסות</t>
        </is>
      </c>
      <c r="E162" s="11" t="inlineStr">
        <is>
          <t>הכנסות ממכירות</t>
        </is>
      </c>
      <c r="F162" s="12" t="n">
        <v>308760</v>
      </c>
    </row>
    <row r="163">
      <c r="A163" s="11" t="inlineStr">
        <is>
          <t>מאי</t>
        </is>
      </c>
      <c r="B163" s="11" t="n">
        <v>5</v>
      </c>
      <c r="C163" s="11" t="inlineStr">
        <is>
          <t>שירות ותמיכה</t>
        </is>
      </c>
      <c r="D163" s="11" t="inlineStr">
        <is>
          <t>הכנסות</t>
        </is>
      </c>
      <c r="E163" s="11" t="inlineStr">
        <is>
          <t>הכנסות ממכירות</t>
        </is>
      </c>
      <c r="F163" s="12" t="n">
        <v>154380</v>
      </c>
    </row>
    <row r="164">
      <c r="A164" s="11" t="inlineStr">
        <is>
          <t>מאי</t>
        </is>
      </c>
      <c r="B164" s="11" t="n">
        <v>5</v>
      </c>
      <c r="C164" s="11" t="inlineStr">
        <is>
          <t>מכירות ישירות</t>
        </is>
      </c>
      <c r="D164" s="11" t="inlineStr">
        <is>
          <t>הכנסות</t>
        </is>
      </c>
      <c r="E164" s="11" t="inlineStr">
        <is>
          <t>הכנסות משירות</t>
        </is>
      </c>
      <c r="F164" s="12" t="n">
        <v>4772</v>
      </c>
    </row>
    <row r="165">
      <c r="A165" s="11" t="inlineStr">
        <is>
          <t>מאי</t>
        </is>
      </c>
      <c r="B165" s="11" t="n">
        <v>5</v>
      </c>
      <c r="C165" s="11" t="inlineStr">
        <is>
          <t>ערוץ מפיצים</t>
        </is>
      </c>
      <c r="D165" s="11" t="inlineStr">
        <is>
          <t>הכנסות</t>
        </is>
      </c>
      <c r="E165" s="11" t="inlineStr">
        <is>
          <t>הכנסות משירות</t>
        </is>
      </c>
      <c r="F165" s="12" t="n">
        <v>4772</v>
      </c>
    </row>
    <row r="166">
      <c r="A166" s="11" t="inlineStr">
        <is>
          <t>מאי</t>
        </is>
      </c>
      <c r="B166" s="11" t="n">
        <v>5</v>
      </c>
      <c r="C166" s="11" t="inlineStr">
        <is>
          <t>שירות ותמיכה</t>
        </is>
      </c>
      <c r="D166" s="11" t="inlineStr">
        <is>
          <t>הכנסות</t>
        </is>
      </c>
      <c r="E166" s="11" t="inlineStr">
        <is>
          <t>הכנסות משירות</t>
        </is>
      </c>
      <c r="F166" s="12" t="n">
        <v>85905</v>
      </c>
    </row>
    <row r="167">
      <c r="A167" s="11" t="inlineStr">
        <is>
          <t>מאי</t>
        </is>
      </c>
      <c r="B167" s="11" t="n">
        <v>5</v>
      </c>
      <c r="C167" s="11" t="inlineStr">
        <is>
          <t>מכירות ישירות</t>
        </is>
      </c>
      <c r="D167" s="11" t="inlineStr">
        <is>
          <t>עלות המכר</t>
        </is>
      </c>
      <c r="E167" s="11" t="inlineStr">
        <is>
          <t>עלות המכר</t>
        </is>
      </c>
      <c r="F167" s="12" t="n">
        <v>367939</v>
      </c>
    </row>
    <row r="168">
      <c r="A168" s="11" t="inlineStr">
        <is>
          <t>מאי</t>
        </is>
      </c>
      <c r="B168" s="11" t="n">
        <v>5</v>
      </c>
      <c r="C168" s="11" t="inlineStr">
        <is>
          <t>ערוץ מפיצים</t>
        </is>
      </c>
      <c r="D168" s="11" t="inlineStr">
        <is>
          <t>עלות המכר</t>
        </is>
      </c>
      <c r="E168" s="11" t="inlineStr">
        <is>
          <t>עלות המכר</t>
        </is>
      </c>
      <c r="F168" s="12" t="n">
        <v>200694</v>
      </c>
    </row>
    <row r="169">
      <c r="A169" s="11" t="inlineStr">
        <is>
          <t>מאי</t>
        </is>
      </c>
      <c r="B169" s="11" t="n">
        <v>5</v>
      </c>
      <c r="C169" s="11" t="inlineStr">
        <is>
          <t>שירות ותמיכה</t>
        </is>
      </c>
      <c r="D169" s="11" t="inlineStr">
        <is>
          <t>עלות המכר</t>
        </is>
      </c>
      <c r="E169" s="11" t="inlineStr">
        <is>
          <t>עלות המכר</t>
        </is>
      </c>
      <c r="F169" s="12" t="n">
        <v>100347</v>
      </c>
    </row>
    <row r="170">
      <c r="A170" s="11" t="inlineStr">
        <is>
          <t>מאי</t>
        </is>
      </c>
      <c r="B170" s="11" t="n">
        <v>5</v>
      </c>
      <c r="C170" s="11" t="inlineStr">
        <is>
          <t>מכירות ישירות</t>
        </is>
      </c>
      <c r="D170" s="11" t="inlineStr">
        <is>
          <t>הוצאות תפעול</t>
        </is>
      </c>
      <c r="E170" s="11" t="inlineStr">
        <is>
          <t>שכר ונלוות</t>
        </is>
      </c>
      <c r="F170" s="12" t="n">
        <v>93583</v>
      </c>
    </row>
    <row r="171">
      <c r="A171" s="11" t="inlineStr">
        <is>
          <t>מאי</t>
        </is>
      </c>
      <c r="B171" s="11" t="n">
        <v>5</v>
      </c>
      <c r="C171" s="11" t="inlineStr">
        <is>
          <t>ערוץ מפיצים</t>
        </is>
      </c>
      <c r="D171" s="11" t="inlineStr">
        <is>
          <t>הוצאות תפעול</t>
        </is>
      </c>
      <c r="E171" s="11" t="inlineStr">
        <is>
          <t>שכר ונלוות</t>
        </is>
      </c>
      <c r="F171" s="12" t="n">
        <v>51045</v>
      </c>
    </row>
    <row r="172">
      <c r="A172" s="11" t="inlineStr">
        <is>
          <t>מאי</t>
        </is>
      </c>
      <c r="B172" s="11" t="n">
        <v>5</v>
      </c>
      <c r="C172" s="11" t="inlineStr">
        <is>
          <t>שירות ותמיכה</t>
        </is>
      </c>
      <c r="D172" s="11" t="inlineStr">
        <is>
          <t>הוצאות תפעול</t>
        </is>
      </c>
      <c r="E172" s="11" t="inlineStr">
        <is>
          <t>שכר ונלוות</t>
        </is>
      </c>
      <c r="F172" s="12" t="n">
        <v>25522</v>
      </c>
    </row>
    <row r="173">
      <c r="A173" s="11" t="inlineStr">
        <is>
          <t>מאי</t>
        </is>
      </c>
      <c r="B173" s="11" t="n">
        <v>5</v>
      </c>
      <c r="C173" s="11" t="inlineStr">
        <is>
          <t>מכירות ישירות</t>
        </is>
      </c>
      <c r="D173" s="11" t="inlineStr">
        <is>
          <t>הוצאות תפעול</t>
        </is>
      </c>
      <c r="E173" s="11" t="inlineStr">
        <is>
          <t>שכר דירה ואחזקה</t>
        </is>
      </c>
      <c r="F173" s="12" t="n">
        <v>11175</v>
      </c>
    </row>
    <row r="174">
      <c r="A174" s="11" t="inlineStr">
        <is>
          <t>מאי</t>
        </is>
      </c>
      <c r="B174" s="11" t="n">
        <v>5</v>
      </c>
      <c r="C174" s="11" t="inlineStr">
        <is>
          <t>ערוץ מפיצים</t>
        </is>
      </c>
      <c r="D174" s="11" t="inlineStr">
        <is>
          <t>הוצאות תפעול</t>
        </is>
      </c>
      <c r="E174" s="11" t="inlineStr">
        <is>
          <t>שכר דירה ואחזקה</t>
        </is>
      </c>
      <c r="F174" s="12" t="n">
        <v>10846</v>
      </c>
    </row>
    <row r="175">
      <c r="A175" s="11" t="inlineStr">
        <is>
          <t>מאי</t>
        </is>
      </c>
      <c r="B175" s="11" t="n">
        <v>5</v>
      </c>
      <c r="C175" s="11" t="inlineStr">
        <is>
          <t>שירות ותמיכה</t>
        </is>
      </c>
      <c r="D175" s="11" t="inlineStr">
        <is>
          <t>הוצאות תפעול</t>
        </is>
      </c>
      <c r="E175" s="11" t="inlineStr">
        <is>
          <t>שכר דירה ואחזקה</t>
        </is>
      </c>
      <c r="F175" s="12" t="n">
        <v>10846</v>
      </c>
    </row>
    <row r="176">
      <c r="A176" s="11" t="inlineStr">
        <is>
          <t>מאי</t>
        </is>
      </c>
      <c r="B176" s="11" t="n">
        <v>5</v>
      </c>
      <c r="C176" s="11" t="inlineStr">
        <is>
          <t>מכירות ישירות</t>
        </is>
      </c>
      <c r="D176" s="11" t="inlineStr">
        <is>
          <t>הוצאות תפעול</t>
        </is>
      </c>
      <c r="E176" s="11" t="inlineStr">
        <is>
          <t>הוצאות רכב</t>
        </is>
      </c>
      <c r="F176" s="12" t="n">
        <v>9769</v>
      </c>
    </row>
    <row r="177">
      <c r="A177" s="11" t="inlineStr">
        <is>
          <t>מאי</t>
        </is>
      </c>
      <c r="B177" s="11" t="n">
        <v>5</v>
      </c>
      <c r="C177" s="11" t="inlineStr">
        <is>
          <t>ערוץ מפיצים</t>
        </is>
      </c>
      <c r="D177" s="11" t="inlineStr">
        <is>
          <t>הוצאות תפעול</t>
        </is>
      </c>
      <c r="E177" s="11" t="inlineStr">
        <is>
          <t>הוצאות רכב</t>
        </is>
      </c>
      <c r="F177" s="12" t="n">
        <v>5329</v>
      </c>
    </row>
    <row r="178">
      <c r="A178" s="11" t="inlineStr">
        <is>
          <t>מאי</t>
        </is>
      </c>
      <c r="B178" s="11" t="n">
        <v>5</v>
      </c>
      <c r="C178" s="11" t="inlineStr">
        <is>
          <t>שירות ותמיכה</t>
        </is>
      </c>
      <c r="D178" s="11" t="inlineStr">
        <is>
          <t>הוצאות תפעול</t>
        </is>
      </c>
      <c r="E178" s="11" t="inlineStr">
        <is>
          <t>הוצאות רכב</t>
        </is>
      </c>
      <c r="F178" s="12" t="n">
        <v>2664</v>
      </c>
    </row>
    <row r="179">
      <c r="A179" s="11" t="inlineStr">
        <is>
          <t>מאי</t>
        </is>
      </c>
      <c r="B179" s="11" t="n">
        <v>5</v>
      </c>
      <c r="C179" s="11" t="inlineStr">
        <is>
          <t>מכירות ישירות</t>
        </is>
      </c>
      <c r="D179" s="11" t="inlineStr">
        <is>
          <t>הוצאות תפעול</t>
        </is>
      </c>
      <c r="E179" s="11" t="inlineStr">
        <is>
          <t>פרסום ושיווק</t>
        </is>
      </c>
      <c r="F179" s="12" t="n">
        <v>15065</v>
      </c>
    </row>
    <row r="180">
      <c r="A180" s="11" t="inlineStr">
        <is>
          <t>מאי</t>
        </is>
      </c>
      <c r="B180" s="11" t="n">
        <v>5</v>
      </c>
      <c r="C180" s="11" t="inlineStr">
        <is>
          <t>ערוץ מפיצים</t>
        </is>
      </c>
      <c r="D180" s="11" t="inlineStr">
        <is>
          <t>הוצאות תפעול</t>
        </is>
      </c>
      <c r="E180" s="11" t="inlineStr">
        <is>
          <t>פרסום ושיווק</t>
        </is>
      </c>
      <c r="F180" s="12" t="n">
        <v>8217</v>
      </c>
    </row>
    <row r="181">
      <c r="A181" s="11" t="inlineStr">
        <is>
          <t>מאי</t>
        </is>
      </c>
      <c r="B181" s="11" t="n">
        <v>5</v>
      </c>
      <c r="C181" s="11" t="inlineStr">
        <is>
          <t>שירות ותמיכה</t>
        </is>
      </c>
      <c r="D181" s="11" t="inlineStr">
        <is>
          <t>הוצאות תפעול</t>
        </is>
      </c>
      <c r="E181" s="11" t="inlineStr">
        <is>
          <t>פרסום ושיווק</t>
        </is>
      </c>
      <c r="F181" s="12" t="n">
        <v>4108</v>
      </c>
    </row>
    <row r="182">
      <c r="A182" s="11" t="inlineStr">
        <is>
          <t>מאי</t>
        </is>
      </c>
      <c r="B182" s="11" t="n">
        <v>5</v>
      </c>
      <c r="C182" s="11" t="inlineStr">
        <is>
          <t>מכירות ישירות</t>
        </is>
      </c>
      <c r="D182" s="11" t="inlineStr">
        <is>
          <t>הוצאות תפעול</t>
        </is>
      </c>
      <c r="E182" s="11" t="inlineStr">
        <is>
          <t>כיבודים ואירוח</t>
        </is>
      </c>
      <c r="F182" s="12" t="n">
        <v>2191</v>
      </c>
    </row>
    <row r="183">
      <c r="A183" s="11" t="inlineStr">
        <is>
          <t>מאי</t>
        </is>
      </c>
      <c r="B183" s="11" t="n">
        <v>5</v>
      </c>
      <c r="C183" s="11" t="inlineStr">
        <is>
          <t>ערוץ מפיצים</t>
        </is>
      </c>
      <c r="D183" s="11" t="inlineStr">
        <is>
          <t>הוצאות תפעול</t>
        </is>
      </c>
      <c r="E183" s="11" t="inlineStr">
        <is>
          <t>כיבודים ואירוח</t>
        </is>
      </c>
      <c r="F183" s="12" t="n">
        <v>1195</v>
      </c>
    </row>
    <row r="184">
      <c r="A184" s="11" t="inlineStr">
        <is>
          <t>מאי</t>
        </is>
      </c>
      <c r="B184" s="11" t="n">
        <v>5</v>
      </c>
      <c r="C184" s="11" t="inlineStr">
        <is>
          <t>שירות ותמיכה</t>
        </is>
      </c>
      <c r="D184" s="11" t="inlineStr">
        <is>
          <t>הוצאות תפעול</t>
        </is>
      </c>
      <c r="E184" s="11" t="inlineStr">
        <is>
          <t>כיבודים ואירוח</t>
        </is>
      </c>
      <c r="F184" s="12" t="n">
        <v>598</v>
      </c>
    </row>
    <row r="185">
      <c r="A185" s="11" t="inlineStr">
        <is>
          <t>מאי</t>
        </is>
      </c>
      <c r="B185" s="11" t="n">
        <v>5</v>
      </c>
      <c r="C185" s="11" t="inlineStr">
        <is>
          <t>מכירות ישירות</t>
        </is>
      </c>
      <c r="D185" s="11" t="inlineStr">
        <is>
          <t>הוצאות תפעול</t>
        </is>
      </c>
      <c r="E185" s="11" t="inlineStr">
        <is>
          <t>הוצאות משרד</t>
        </is>
      </c>
      <c r="F185" s="12" t="n">
        <v>5752</v>
      </c>
    </row>
    <row r="186">
      <c r="A186" s="11" t="inlineStr">
        <is>
          <t>מאי</t>
        </is>
      </c>
      <c r="B186" s="11" t="n">
        <v>5</v>
      </c>
      <c r="C186" s="11" t="inlineStr">
        <is>
          <t>ערוץ מפיצים</t>
        </is>
      </c>
      <c r="D186" s="11" t="inlineStr">
        <is>
          <t>הוצאות תפעול</t>
        </is>
      </c>
      <c r="E186" s="11" t="inlineStr">
        <is>
          <t>הוצאות משרד</t>
        </is>
      </c>
      <c r="F186" s="12" t="n">
        <v>3137</v>
      </c>
    </row>
    <row r="187">
      <c r="A187" s="11" t="inlineStr">
        <is>
          <t>מאי</t>
        </is>
      </c>
      <c r="B187" s="11" t="n">
        <v>5</v>
      </c>
      <c r="C187" s="11" t="inlineStr">
        <is>
          <t>שירות ותמיכה</t>
        </is>
      </c>
      <c r="D187" s="11" t="inlineStr">
        <is>
          <t>הוצאות תפעול</t>
        </is>
      </c>
      <c r="E187" s="11" t="inlineStr">
        <is>
          <t>הוצאות משרד</t>
        </is>
      </c>
      <c r="F187" s="12" t="n">
        <v>1569</v>
      </c>
    </row>
    <row r="188">
      <c r="A188" s="11" t="inlineStr">
        <is>
          <t>מאי</t>
        </is>
      </c>
      <c r="B188" s="11" t="n">
        <v>5</v>
      </c>
      <c r="C188" s="11" t="inlineStr">
        <is>
          <t>מכירות ישירות</t>
        </is>
      </c>
      <c r="D188" s="11" t="inlineStr">
        <is>
          <t>הוצאות תפעול</t>
        </is>
      </c>
      <c r="E188" s="11" t="inlineStr">
        <is>
          <t>עמלות סליקה</t>
        </is>
      </c>
      <c r="F188" s="12" t="n">
        <v>6939</v>
      </c>
    </row>
    <row r="189">
      <c r="A189" s="11" t="inlineStr">
        <is>
          <t>מאי</t>
        </is>
      </c>
      <c r="B189" s="11" t="n">
        <v>5</v>
      </c>
      <c r="C189" s="11" t="inlineStr">
        <is>
          <t>ערוץ מפיצים</t>
        </is>
      </c>
      <c r="D189" s="11" t="inlineStr">
        <is>
          <t>הוצאות תפעול</t>
        </is>
      </c>
      <c r="E189" s="11" t="inlineStr">
        <is>
          <t>עמלות סליקה</t>
        </is>
      </c>
      <c r="F189" s="12" t="n">
        <v>3785</v>
      </c>
    </row>
    <row r="190">
      <c r="A190" s="11" t="inlineStr">
        <is>
          <t>מאי</t>
        </is>
      </c>
      <c r="B190" s="11" t="n">
        <v>5</v>
      </c>
      <c r="C190" s="11" t="inlineStr">
        <is>
          <t>שירות ותמיכה</t>
        </is>
      </c>
      <c r="D190" s="11" t="inlineStr">
        <is>
          <t>הוצאות תפעול</t>
        </is>
      </c>
      <c r="E190" s="11" t="inlineStr">
        <is>
          <t>עמלות סליקה</t>
        </is>
      </c>
      <c r="F190" s="12" t="n">
        <v>1892</v>
      </c>
    </row>
    <row r="191">
      <c r="A191" s="11" t="inlineStr">
        <is>
          <t>מאי</t>
        </is>
      </c>
      <c r="B191" s="11" t="n">
        <v>5</v>
      </c>
      <c r="C191" s="11" t="inlineStr">
        <is>
          <t>מכירות ישירות</t>
        </is>
      </c>
      <c r="D191" s="11" t="inlineStr">
        <is>
          <t>הוצאות תפעול</t>
        </is>
      </c>
      <c r="E191" s="11" t="inlineStr">
        <is>
          <t>ייעוץ מקצועי</t>
        </is>
      </c>
      <c r="F191" s="12" t="n">
        <v>5387</v>
      </c>
    </row>
    <row r="192">
      <c r="A192" s="11" t="inlineStr">
        <is>
          <t>מאי</t>
        </is>
      </c>
      <c r="B192" s="11" t="n">
        <v>5</v>
      </c>
      <c r="C192" s="11" t="inlineStr">
        <is>
          <t>ערוץ מפיצים</t>
        </is>
      </c>
      <c r="D192" s="11" t="inlineStr">
        <is>
          <t>הוצאות תפעול</t>
        </is>
      </c>
      <c r="E192" s="11" t="inlineStr">
        <is>
          <t>ייעוץ מקצועי</t>
        </is>
      </c>
      <c r="F192" s="12" t="n">
        <v>2938</v>
      </c>
    </row>
    <row r="193">
      <c r="A193" s="11" t="inlineStr">
        <is>
          <t>מאי</t>
        </is>
      </c>
      <c r="B193" s="11" t="n">
        <v>5</v>
      </c>
      <c r="C193" s="11" t="inlineStr">
        <is>
          <t>שירות ותמיכה</t>
        </is>
      </c>
      <c r="D193" s="11" t="inlineStr">
        <is>
          <t>הוצאות תפעול</t>
        </is>
      </c>
      <c r="E193" s="11" t="inlineStr">
        <is>
          <t>ייעוץ מקצועי</t>
        </is>
      </c>
      <c r="F193" s="12" t="n">
        <v>1469</v>
      </c>
    </row>
    <row r="194">
      <c r="A194" s="11" t="inlineStr">
        <is>
          <t>מאי</t>
        </is>
      </c>
      <c r="B194" s="11" t="n">
        <v>5</v>
      </c>
      <c r="C194" s="11" t="inlineStr">
        <is>
          <t>מכירות ישירות</t>
        </is>
      </c>
      <c r="D194" s="11" t="inlineStr">
        <is>
          <t>הוצאות תפעול</t>
        </is>
      </c>
      <c r="E194" s="11" t="inlineStr">
        <is>
          <t>פחת</t>
        </is>
      </c>
      <c r="F194" s="12" t="n">
        <v>5080</v>
      </c>
    </row>
    <row r="195">
      <c r="A195" s="11" t="inlineStr">
        <is>
          <t>מאי</t>
        </is>
      </c>
      <c r="B195" s="11" t="n">
        <v>5</v>
      </c>
      <c r="C195" s="11" t="inlineStr">
        <is>
          <t>ערוץ מפיצים</t>
        </is>
      </c>
      <c r="D195" s="11" t="inlineStr">
        <is>
          <t>הוצאות תפעול</t>
        </is>
      </c>
      <c r="E195" s="11" t="inlineStr">
        <is>
          <t>פחת</t>
        </is>
      </c>
      <c r="F195" s="12" t="n">
        <v>4930</v>
      </c>
    </row>
    <row r="196">
      <c r="A196" s="11" t="inlineStr">
        <is>
          <t>מאי</t>
        </is>
      </c>
      <c r="B196" s="11" t="n">
        <v>5</v>
      </c>
      <c r="C196" s="11" t="inlineStr">
        <is>
          <t>שירות ותמיכה</t>
        </is>
      </c>
      <c r="D196" s="11" t="inlineStr">
        <is>
          <t>הוצאות תפעול</t>
        </is>
      </c>
      <c r="E196" s="11" t="inlineStr">
        <is>
          <t>פחת</t>
        </is>
      </c>
      <c r="F196" s="12" t="n">
        <v>4930</v>
      </c>
    </row>
    <row r="197">
      <c r="A197" s="11" t="inlineStr">
        <is>
          <t>מאי</t>
        </is>
      </c>
      <c r="B197" s="11" t="n">
        <v>5</v>
      </c>
      <c r="C197" s="11" t="inlineStr">
        <is>
          <t>מכירות ישירות</t>
        </is>
      </c>
      <c r="D197" s="11" t="inlineStr">
        <is>
          <t>הוצאות תפעול</t>
        </is>
      </c>
      <c r="E197" s="11" t="inlineStr">
        <is>
          <t>הוצאות מימון</t>
        </is>
      </c>
      <c r="F197" s="12" t="n">
        <v>2709</v>
      </c>
    </row>
    <row r="198">
      <c r="A198" s="11" t="inlineStr">
        <is>
          <t>מאי</t>
        </is>
      </c>
      <c r="B198" s="11" t="n">
        <v>5</v>
      </c>
      <c r="C198" s="11" t="inlineStr">
        <is>
          <t>ערוץ מפיצים</t>
        </is>
      </c>
      <c r="D198" s="11" t="inlineStr">
        <is>
          <t>הוצאות תפעול</t>
        </is>
      </c>
      <c r="E198" s="11" t="inlineStr">
        <is>
          <t>הוצאות מימון</t>
        </is>
      </c>
      <c r="F198" s="12" t="n">
        <v>2629</v>
      </c>
    </row>
    <row r="199">
      <c r="A199" s="11" t="inlineStr">
        <is>
          <t>מאי</t>
        </is>
      </c>
      <c r="B199" s="11" t="n">
        <v>5</v>
      </c>
      <c r="C199" s="11" t="inlineStr">
        <is>
          <t>שירות ותמיכה</t>
        </is>
      </c>
      <c r="D199" s="11" t="inlineStr">
        <is>
          <t>הוצאות תפעול</t>
        </is>
      </c>
      <c r="E199" s="11" t="inlineStr">
        <is>
          <t>הוצאות מימון</t>
        </is>
      </c>
      <c r="F199" s="12" t="n">
        <v>2629</v>
      </c>
    </row>
    <row r="200">
      <c r="A200" s="11" t="inlineStr">
        <is>
          <t>יוני</t>
        </is>
      </c>
      <c r="B200" s="11" t="n">
        <v>6</v>
      </c>
      <c r="C200" s="11" t="inlineStr">
        <is>
          <t>מכירות ישירות</t>
        </is>
      </c>
      <c r="D200" s="11" t="inlineStr">
        <is>
          <t>הכנסות</t>
        </is>
      </c>
      <c r="E200" s="11" t="inlineStr">
        <is>
          <t>הכנסות ממכירות</t>
        </is>
      </c>
      <c r="F200" s="12" t="n">
        <v>606980</v>
      </c>
    </row>
    <row r="201">
      <c r="A201" s="11" t="inlineStr">
        <is>
          <t>יוני</t>
        </is>
      </c>
      <c r="B201" s="11" t="n">
        <v>6</v>
      </c>
      <c r="C201" s="11" t="inlineStr">
        <is>
          <t>ערוץ מפיצים</t>
        </is>
      </c>
      <c r="D201" s="11" t="inlineStr">
        <is>
          <t>הכנסות</t>
        </is>
      </c>
      <c r="E201" s="11" t="inlineStr">
        <is>
          <t>הכנסות ממכירות</t>
        </is>
      </c>
      <c r="F201" s="12" t="n">
        <v>331080</v>
      </c>
    </row>
    <row r="202">
      <c r="A202" s="11" t="inlineStr">
        <is>
          <t>יוני</t>
        </is>
      </c>
      <c r="B202" s="11" t="n">
        <v>6</v>
      </c>
      <c r="C202" s="11" t="inlineStr">
        <is>
          <t>שירות ותמיכה</t>
        </is>
      </c>
      <c r="D202" s="11" t="inlineStr">
        <is>
          <t>הכנסות</t>
        </is>
      </c>
      <c r="E202" s="11" t="inlineStr">
        <is>
          <t>הכנסות ממכירות</t>
        </is>
      </c>
      <c r="F202" s="12" t="n">
        <v>165540</v>
      </c>
    </row>
    <row r="203">
      <c r="A203" s="11" t="inlineStr">
        <is>
          <t>יוני</t>
        </is>
      </c>
      <c r="B203" s="11" t="n">
        <v>6</v>
      </c>
      <c r="C203" s="11" t="inlineStr">
        <is>
          <t>מכירות ישירות</t>
        </is>
      </c>
      <c r="D203" s="11" t="inlineStr">
        <is>
          <t>הכנסות</t>
        </is>
      </c>
      <c r="E203" s="11" t="inlineStr">
        <is>
          <t>הכנסות משירות</t>
        </is>
      </c>
      <c r="F203" s="12" t="n">
        <v>5118</v>
      </c>
    </row>
    <row r="204">
      <c r="A204" s="11" t="inlineStr">
        <is>
          <t>יוני</t>
        </is>
      </c>
      <c r="B204" s="11" t="n">
        <v>6</v>
      </c>
      <c r="C204" s="11" t="inlineStr">
        <is>
          <t>ערוץ מפיצים</t>
        </is>
      </c>
      <c r="D204" s="11" t="inlineStr">
        <is>
          <t>הכנסות</t>
        </is>
      </c>
      <c r="E204" s="11" t="inlineStr">
        <is>
          <t>הכנסות משירות</t>
        </is>
      </c>
      <c r="F204" s="12" t="n">
        <v>5118</v>
      </c>
    </row>
    <row r="205">
      <c r="A205" s="11" t="inlineStr">
        <is>
          <t>יוני</t>
        </is>
      </c>
      <c r="B205" s="11" t="n">
        <v>6</v>
      </c>
      <c r="C205" s="11" t="inlineStr">
        <is>
          <t>שירות ותמיכה</t>
        </is>
      </c>
      <c r="D205" s="11" t="inlineStr">
        <is>
          <t>הכנסות</t>
        </is>
      </c>
      <c r="E205" s="11" t="inlineStr">
        <is>
          <t>הכנסות משירות</t>
        </is>
      </c>
      <c r="F205" s="12" t="n">
        <v>92115</v>
      </c>
    </row>
    <row r="206">
      <c r="A206" s="11" t="inlineStr">
        <is>
          <t>יוני</t>
        </is>
      </c>
      <c r="B206" s="11" t="n">
        <v>6</v>
      </c>
      <c r="C206" s="11" t="inlineStr">
        <is>
          <t>מכירות ישירות</t>
        </is>
      </c>
      <c r="D206" s="11" t="inlineStr">
        <is>
          <t>עלות המכר</t>
        </is>
      </c>
      <c r="E206" s="11" t="inlineStr">
        <is>
          <t>עלות המכר</t>
        </is>
      </c>
      <c r="F206" s="12" t="n">
        <v>394537</v>
      </c>
    </row>
    <row r="207">
      <c r="A207" s="11" t="inlineStr">
        <is>
          <t>יוני</t>
        </is>
      </c>
      <c r="B207" s="11" t="n">
        <v>6</v>
      </c>
      <c r="C207" s="11" t="inlineStr">
        <is>
          <t>ערוץ מפיצים</t>
        </is>
      </c>
      <c r="D207" s="11" t="inlineStr">
        <is>
          <t>עלות המכר</t>
        </is>
      </c>
      <c r="E207" s="11" t="inlineStr">
        <is>
          <t>עלות המכר</t>
        </is>
      </c>
      <c r="F207" s="12" t="n">
        <v>215202</v>
      </c>
    </row>
    <row r="208">
      <c r="A208" s="11" t="inlineStr">
        <is>
          <t>יוני</t>
        </is>
      </c>
      <c r="B208" s="11" t="n">
        <v>6</v>
      </c>
      <c r="C208" s="11" t="inlineStr">
        <is>
          <t>שירות ותמיכה</t>
        </is>
      </c>
      <c r="D208" s="11" t="inlineStr">
        <is>
          <t>עלות המכר</t>
        </is>
      </c>
      <c r="E208" s="11" t="inlineStr">
        <is>
          <t>עלות המכר</t>
        </is>
      </c>
      <c r="F208" s="12" t="n">
        <v>107601</v>
      </c>
    </row>
    <row r="209">
      <c r="A209" s="11" t="inlineStr">
        <is>
          <t>יוני</t>
        </is>
      </c>
      <c r="B209" s="11" t="n">
        <v>6</v>
      </c>
      <c r="C209" s="11" t="inlineStr">
        <is>
          <t>מכירות ישירות</t>
        </is>
      </c>
      <c r="D209" s="11" t="inlineStr">
        <is>
          <t>הוצאות תפעול</t>
        </is>
      </c>
      <c r="E209" s="11" t="inlineStr">
        <is>
          <t>שכר ונלוות</t>
        </is>
      </c>
      <c r="F209" s="12" t="n">
        <v>100348</v>
      </c>
    </row>
    <row r="210">
      <c r="A210" s="11" t="inlineStr">
        <is>
          <t>יוני</t>
        </is>
      </c>
      <c r="B210" s="11" t="n">
        <v>6</v>
      </c>
      <c r="C210" s="11" t="inlineStr">
        <is>
          <t>ערוץ מפיצים</t>
        </is>
      </c>
      <c r="D210" s="11" t="inlineStr">
        <is>
          <t>הוצאות תפעול</t>
        </is>
      </c>
      <c r="E210" s="11" t="inlineStr">
        <is>
          <t>שכר ונלוות</t>
        </is>
      </c>
      <c r="F210" s="12" t="n">
        <v>54735</v>
      </c>
    </row>
    <row r="211">
      <c r="A211" s="11" t="inlineStr">
        <is>
          <t>יוני</t>
        </is>
      </c>
      <c r="B211" s="11" t="n">
        <v>6</v>
      </c>
      <c r="C211" s="11" t="inlineStr">
        <is>
          <t>שירות ותמיכה</t>
        </is>
      </c>
      <c r="D211" s="11" t="inlineStr">
        <is>
          <t>הוצאות תפעול</t>
        </is>
      </c>
      <c r="E211" s="11" t="inlineStr">
        <is>
          <t>שכר ונלוות</t>
        </is>
      </c>
      <c r="F211" s="12" t="n">
        <v>27368</v>
      </c>
    </row>
    <row r="212">
      <c r="A212" s="11" t="inlineStr">
        <is>
          <t>יוני</t>
        </is>
      </c>
      <c r="B212" s="11" t="n">
        <v>6</v>
      </c>
      <c r="C212" s="11" t="inlineStr">
        <is>
          <t>מכירות ישירות</t>
        </is>
      </c>
      <c r="D212" s="11" t="inlineStr">
        <is>
          <t>הוצאות תפעול</t>
        </is>
      </c>
      <c r="E212" s="11" t="inlineStr">
        <is>
          <t>שכר דירה ואחזקה</t>
        </is>
      </c>
      <c r="F212" s="12" t="n">
        <v>11983</v>
      </c>
    </row>
    <row r="213">
      <c r="A213" s="11" t="inlineStr">
        <is>
          <t>יוני</t>
        </is>
      </c>
      <c r="B213" s="11" t="n">
        <v>6</v>
      </c>
      <c r="C213" s="11" t="inlineStr">
        <is>
          <t>ערוץ מפיצים</t>
        </is>
      </c>
      <c r="D213" s="11" t="inlineStr">
        <is>
          <t>הוצאות תפעול</t>
        </is>
      </c>
      <c r="E213" s="11" t="inlineStr">
        <is>
          <t>שכר דירה ואחזקה</t>
        </is>
      </c>
      <c r="F213" s="12" t="n">
        <v>11631</v>
      </c>
    </row>
    <row r="214">
      <c r="A214" s="11" t="inlineStr">
        <is>
          <t>יוני</t>
        </is>
      </c>
      <c r="B214" s="11" t="n">
        <v>6</v>
      </c>
      <c r="C214" s="11" t="inlineStr">
        <is>
          <t>שירות ותמיכה</t>
        </is>
      </c>
      <c r="D214" s="11" t="inlineStr">
        <is>
          <t>הוצאות תפעול</t>
        </is>
      </c>
      <c r="E214" s="11" t="inlineStr">
        <is>
          <t>שכר דירה ואחזקה</t>
        </is>
      </c>
      <c r="F214" s="12" t="n">
        <v>11631</v>
      </c>
    </row>
    <row r="215">
      <c r="A215" s="11" t="inlineStr">
        <is>
          <t>יוני</t>
        </is>
      </c>
      <c r="B215" s="11" t="n">
        <v>6</v>
      </c>
      <c r="C215" s="11" t="inlineStr">
        <is>
          <t>מכירות ישירות</t>
        </is>
      </c>
      <c r="D215" s="11" t="inlineStr">
        <is>
          <t>הוצאות תפעול</t>
        </is>
      </c>
      <c r="E215" s="11" t="inlineStr">
        <is>
          <t>הוצאות רכב</t>
        </is>
      </c>
      <c r="F215" s="12" t="n">
        <v>10475</v>
      </c>
    </row>
    <row r="216">
      <c r="A216" s="11" t="inlineStr">
        <is>
          <t>יוני</t>
        </is>
      </c>
      <c r="B216" s="11" t="n">
        <v>6</v>
      </c>
      <c r="C216" s="11" t="inlineStr">
        <is>
          <t>ערוץ מפיצים</t>
        </is>
      </c>
      <c r="D216" s="11" t="inlineStr">
        <is>
          <t>הוצאות תפעול</t>
        </is>
      </c>
      <c r="E216" s="11" t="inlineStr">
        <is>
          <t>הוצאות רכב</t>
        </is>
      </c>
      <c r="F216" s="12" t="n">
        <v>5714</v>
      </c>
    </row>
    <row r="217">
      <c r="A217" s="11" t="inlineStr">
        <is>
          <t>יוני</t>
        </is>
      </c>
      <c r="B217" s="11" t="n">
        <v>6</v>
      </c>
      <c r="C217" s="11" t="inlineStr">
        <is>
          <t>שירות ותמיכה</t>
        </is>
      </c>
      <c r="D217" s="11" t="inlineStr">
        <is>
          <t>הוצאות תפעול</t>
        </is>
      </c>
      <c r="E217" s="11" t="inlineStr">
        <is>
          <t>הוצאות רכב</t>
        </is>
      </c>
      <c r="F217" s="12" t="n">
        <v>2857</v>
      </c>
    </row>
    <row r="218">
      <c r="A218" s="11" t="inlineStr">
        <is>
          <t>יוני</t>
        </is>
      </c>
      <c r="B218" s="11" t="n">
        <v>6</v>
      </c>
      <c r="C218" s="11" t="inlineStr">
        <is>
          <t>מכירות ישירות</t>
        </is>
      </c>
      <c r="D218" s="11" t="inlineStr">
        <is>
          <t>הוצאות תפעול</t>
        </is>
      </c>
      <c r="E218" s="11" t="inlineStr">
        <is>
          <t>פרסום ושיווק</t>
        </is>
      </c>
      <c r="F218" s="12" t="n">
        <v>16154</v>
      </c>
    </row>
    <row r="219">
      <c r="A219" s="11" t="inlineStr">
        <is>
          <t>יוני</t>
        </is>
      </c>
      <c r="B219" s="11" t="n">
        <v>6</v>
      </c>
      <c r="C219" s="11" t="inlineStr">
        <is>
          <t>ערוץ מפיצים</t>
        </is>
      </c>
      <c r="D219" s="11" t="inlineStr">
        <is>
          <t>הוצאות תפעול</t>
        </is>
      </c>
      <c r="E219" s="11" t="inlineStr">
        <is>
          <t>פרסום ושיווק</t>
        </is>
      </c>
      <c r="F219" s="12" t="n">
        <v>8811</v>
      </c>
    </row>
    <row r="220">
      <c r="A220" s="11" t="inlineStr">
        <is>
          <t>יוני</t>
        </is>
      </c>
      <c r="B220" s="11" t="n">
        <v>6</v>
      </c>
      <c r="C220" s="11" t="inlineStr">
        <is>
          <t>שירות ותמיכה</t>
        </is>
      </c>
      <c r="D220" s="11" t="inlineStr">
        <is>
          <t>הוצאות תפעול</t>
        </is>
      </c>
      <c r="E220" s="11" t="inlineStr">
        <is>
          <t>פרסום ושיווק</t>
        </is>
      </c>
      <c r="F220" s="12" t="n">
        <v>4406</v>
      </c>
    </row>
    <row r="221">
      <c r="A221" s="11" t="inlineStr">
        <is>
          <t>יוני</t>
        </is>
      </c>
      <c r="B221" s="11" t="n">
        <v>6</v>
      </c>
      <c r="C221" s="11" t="inlineStr">
        <is>
          <t>מכירות ישירות</t>
        </is>
      </c>
      <c r="D221" s="11" t="inlineStr">
        <is>
          <t>הוצאות תפעול</t>
        </is>
      </c>
      <c r="E221" s="11" t="inlineStr">
        <is>
          <t>כיבודים ואירוח</t>
        </is>
      </c>
      <c r="F221" s="12" t="n">
        <v>2350</v>
      </c>
    </row>
    <row r="222">
      <c r="A222" s="11" t="inlineStr">
        <is>
          <t>יוני</t>
        </is>
      </c>
      <c r="B222" s="11" t="n">
        <v>6</v>
      </c>
      <c r="C222" s="11" t="inlineStr">
        <is>
          <t>ערוץ מפיצים</t>
        </is>
      </c>
      <c r="D222" s="11" t="inlineStr">
        <is>
          <t>הוצאות תפעול</t>
        </is>
      </c>
      <c r="E222" s="11" t="inlineStr">
        <is>
          <t>כיבודים ואירוח</t>
        </is>
      </c>
      <c r="F222" s="12" t="n">
        <v>1282</v>
      </c>
    </row>
    <row r="223">
      <c r="A223" s="11" t="inlineStr">
        <is>
          <t>יוני</t>
        </is>
      </c>
      <c r="B223" s="11" t="n">
        <v>6</v>
      </c>
      <c r="C223" s="11" t="inlineStr">
        <is>
          <t>שירות ותמיכה</t>
        </is>
      </c>
      <c r="D223" s="11" t="inlineStr">
        <is>
          <t>הוצאות תפעול</t>
        </is>
      </c>
      <c r="E223" s="11" t="inlineStr">
        <is>
          <t>כיבודים ואירוח</t>
        </is>
      </c>
      <c r="F223" s="12" t="n">
        <v>641</v>
      </c>
    </row>
    <row r="224">
      <c r="A224" s="11" t="inlineStr">
        <is>
          <t>יוני</t>
        </is>
      </c>
      <c r="B224" s="11" t="n">
        <v>6</v>
      </c>
      <c r="C224" s="11" t="inlineStr">
        <is>
          <t>מכירות ישירות</t>
        </is>
      </c>
      <c r="D224" s="11" t="inlineStr">
        <is>
          <t>הוצאות תפעול</t>
        </is>
      </c>
      <c r="E224" s="11" t="inlineStr">
        <is>
          <t>הוצאות משרד</t>
        </is>
      </c>
      <c r="F224" s="12" t="n">
        <v>6168</v>
      </c>
    </row>
    <row r="225">
      <c r="A225" s="11" t="inlineStr">
        <is>
          <t>יוני</t>
        </is>
      </c>
      <c r="B225" s="11" t="n">
        <v>6</v>
      </c>
      <c r="C225" s="11" t="inlineStr">
        <is>
          <t>ערוץ מפיצים</t>
        </is>
      </c>
      <c r="D225" s="11" t="inlineStr">
        <is>
          <t>הוצאות תפעול</t>
        </is>
      </c>
      <c r="E225" s="11" t="inlineStr">
        <is>
          <t>הוצאות משרד</t>
        </is>
      </c>
      <c r="F225" s="12" t="n">
        <v>3364</v>
      </c>
    </row>
    <row r="226">
      <c r="A226" s="11" t="inlineStr">
        <is>
          <t>יוני</t>
        </is>
      </c>
      <c r="B226" s="11" t="n">
        <v>6</v>
      </c>
      <c r="C226" s="11" t="inlineStr">
        <is>
          <t>שירות ותמיכה</t>
        </is>
      </c>
      <c r="D226" s="11" t="inlineStr">
        <is>
          <t>הוצאות תפעול</t>
        </is>
      </c>
      <c r="E226" s="11" t="inlineStr">
        <is>
          <t>הוצאות משרד</t>
        </is>
      </c>
      <c r="F226" s="12" t="n">
        <v>1682</v>
      </c>
    </row>
    <row r="227">
      <c r="A227" s="11" t="inlineStr">
        <is>
          <t>יוני</t>
        </is>
      </c>
      <c r="B227" s="11" t="n">
        <v>6</v>
      </c>
      <c r="C227" s="11" t="inlineStr">
        <is>
          <t>מכירות ישירות</t>
        </is>
      </c>
      <c r="D227" s="11" t="inlineStr">
        <is>
          <t>הוצאות תפעול</t>
        </is>
      </c>
      <c r="E227" s="11" t="inlineStr">
        <is>
          <t>עמלות סליקה</t>
        </is>
      </c>
      <c r="F227" s="12" t="n">
        <v>7440</v>
      </c>
    </row>
    <row r="228">
      <c r="A228" s="11" t="inlineStr">
        <is>
          <t>יוני</t>
        </is>
      </c>
      <c r="B228" s="11" t="n">
        <v>6</v>
      </c>
      <c r="C228" s="11" t="inlineStr">
        <is>
          <t>ערוץ מפיצים</t>
        </is>
      </c>
      <c r="D228" s="11" t="inlineStr">
        <is>
          <t>הוצאות תפעול</t>
        </is>
      </c>
      <c r="E228" s="11" t="inlineStr">
        <is>
          <t>עמלות סליקה</t>
        </is>
      </c>
      <c r="F228" s="12" t="n">
        <v>4058</v>
      </c>
    </row>
    <row r="229">
      <c r="A229" s="11" t="inlineStr">
        <is>
          <t>יוני</t>
        </is>
      </c>
      <c r="B229" s="11" t="n">
        <v>6</v>
      </c>
      <c r="C229" s="11" t="inlineStr">
        <is>
          <t>שירות ותמיכה</t>
        </is>
      </c>
      <c r="D229" s="11" t="inlineStr">
        <is>
          <t>הוצאות תפעול</t>
        </is>
      </c>
      <c r="E229" s="11" t="inlineStr">
        <is>
          <t>עמלות סליקה</t>
        </is>
      </c>
      <c r="F229" s="12" t="n">
        <v>2029</v>
      </c>
    </row>
    <row r="230">
      <c r="A230" s="11" t="inlineStr">
        <is>
          <t>יוני</t>
        </is>
      </c>
      <c r="B230" s="11" t="n">
        <v>6</v>
      </c>
      <c r="C230" s="11" t="inlineStr">
        <is>
          <t>מכירות ישירות</t>
        </is>
      </c>
      <c r="D230" s="11" t="inlineStr">
        <is>
          <t>הוצאות תפעול</t>
        </is>
      </c>
      <c r="E230" s="11" t="inlineStr">
        <is>
          <t>ייעוץ מקצועי</t>
        </is>
      </c>
      <c r="F230" s="12" t="n">
        <v>5776</v>
      </c>
    </row>
    <row r="231">
      <c r="A231" s="11" t="inlineStr">
        <is>
          <t>יוני</t>
        </is>
      </c>
      <c r="B231" s="11" t="n">
        <v>6</v>
      </c>
      <c r="C231" s="11" t="inlineStr">
        <is>
          <t>ערוץ מפיצים</t>
        </is>
      </c>
      <c r="D231" s="11" t="inlineStr">
        <is>
          <t>הוצאות תפעול</t>
        </is>
      </c>
      <c r="E231" s="11" t="inlineStr">
        <is>
          <t>ייעוץ מקצועי</t>
        </is>
      </c>
      <c r="F231" s="12" t="n">
        <v>3151</v>
      </c>
    </row>
    <row r="232">
      <c r="A232" s="11" t="inlineStr">
        <is>
          <t>יוני</t>
        </is>
      </c>
      <c r="B232" s="11" t="n">
        <v>6</v>
      </c>
      <c r="C232" s="11" t="inlineStr">
        <is>
          <t>שירות ותמיכה</t>
        </is>
      </c>
      <c r="D232" s="11" t="inlineStr">
        <is>
          <t>הוצאות תפעול</t>
        </is>
      </c>
      <c r="E232" s="11" t="inlineStr">
        <is>
          <t>ייעוץ מקצועי</t>
        </is>
      </c>
      <c r="F232" s="12" t="n">
        <v>1575</v>
      </c>
    </row>
    <row r="233">
      <c r="A233" s="11" t="inlineStr">
        <is>
          <t>יוני</t>
        </is>
      </c>
      <c r="B233" s="11" t="n">
        <v>6</v>
      </c>
      <c r="C233" s="11" t="inlineStr">
        <is>
          <t>מכירות ישירות</t>
        </is>
      </c>
      <c r="D233" s="11" t="inlineStr">
        <is>
          <t>הוצאות תפעול</t>
        </is>
      </c>
      <c r="E233" s="11" t="inlineStr">
        <is>
          <t>פחת</t>
        </is>
      </c>
      <c r="F233" s="12" t="n">
        <v>5447</v>
      </c>
    </row>
    <row r="234">
      <c r="A234" s="11" t="inlineStr">
        <is>
          <t>יוני</t>
        </is>
      </c>
      <c r="B234" s="11" t="n">
        <v>6</v>
      </c>
      <c r="C234" s="11" t="inlineStr">
        <is>
          <t>ערוץ מפיצים</t>
        </is>
      </c>
      <c r="D234" s="11" t="inlineStr">
        <is>
          <t>הוצאות תפעול</t>
        </is>
      </c>
      <c r="E234" s="11" t="inlineStr">
        <is>
          <t>פחת</t>
        </is>
      </c>
      <c r="F234" s="12" t="n">
        <v>5287</v>
      </c>
    </row>
    <row r="235">
      <c r="A235" s="11" t="inlineStr">
        <is>
          <t>יוני</t>
        </is>
      </c>
      <c r="B235" s="11" t="n">
        <v>6</v>
      </c>
      <c r="C235" s="11" t="inlineStr">
        <is>
          <t>שירות ותמיכה</t>
        </is>
      </c>
      <c r="D235" s="11" t="inlineStr">
        <is>
          <t>הוצאות תפעול</t>
        </is>
      </c>
      <c r="E235" s="11" t="inlineStr">
        <is>
          <t>פחת</t>
        </is>
      </c>
      <c r="F235" s="12" t="n">
        <v>5287</v>
      </c>
    </row>
    <row r="236">
      <c r="A236" s="11" t="inlineStr">
        <is>
          <t>יוני</t>
        </is>
      </c>
      <c r="B236" s="11" t="n">
        <v>6</v>
      </c>
      <c r="C236" s="11" t="inlineStr">
        <is>
          <t>מכירות ישירות</t>
        </is>
      </c>
      <c r="D236" s="11" t="inlineStr">
        <is>
          <t>הוצאות תפעול</t>
        </is>
      </c>
      <c r="E236" s="11" t="inlineStr">
        <is>
          <t>הוצאות מימון</t>
        </is>
      </c>
      <c r="F236" s="12" t="n">
        <v>2905</v>
      </c>
    </row>
    <row r="237">
      <c r="A237" s="11" t="inlineStr">
        <is>
          <t>יוני</t>
        </is>
      </c>
      <c r="B237" s="11" t="n">
        <v>6</v>
      </c>
      <c r="C237" s="11" t="inlineStr">
        <is>
          <t>ערוץ מפיצים</t>
        </is>
      </c>
      <c r="D237" s="11" t="inlineStr">
        <is>
          <t>הוצאות תפעול</t>
        </is>
      </c>
      <c r="E237" s="11" t="inlineStr">
        <is>
          <t>הוצאות מימון</t>
        </is>
      </c>
      <c r="F237" s="12" t="n">
        <v>2820</v>
      </c>
    </row>
    <row r="238">
      <c r="A238" s="11" t="inlineStr">
        <is>
          <t>יוני</t>
        </is>
      </c>
      <c r="B238" s="11" t="n">
        <v>6</v>
      </c>
      <c r="C238" s="11" t="inlineStr">
        <is>
          <t>שירות ותמיכה</t>
        </is>
      </c>
      <c r="D238" s="11" t="inlineStr">
        <is>
          <t>הוצאות תפעול</t>
        </is>
      </c>
      <c r="E238" s="11" t="inlineStr">
        <is>
          <t>הוצאות מימון</t>
        </is>
      </c>
      <c r="F238" s="12" t="n">
        <v>2820</v>
      </c>
    </row>
    <row r="239">
      <c r="A239" s="11" t="inlineStr">
        <is>
          <t>יולי</t>
        </is>
      </c>
      <c r="B239" s="11" t="n">
        <v>7</v>
      </c>
      <c r="C239" s="11" t="inlineStr">
        <is>
          <t>מכירות ישירות</t>
        </is>
      </c>
      <c r="D239" s="11" t="inlineStr">
        <is>
          <t>הכנסות</t>
        </is>
      </c>
      <c r="E239" s="11" t="inlineStr">
        <is>
          <t>הכנסות ממכירות</t>
        </is>
      </c>
      <c r="F239" s="12" t="n">
        <v>511500</v>
      </c>
    </row>
    <row r="240">
      <c r="A240" s="11" t="inlineStr">
        <is>
          <t>יולי</t>
        </is>
      </c>
      <c r="B240" s="11" t="n">
        <v>7</v>
      </c>
      <c r="C240" s="11" t="inlineStr">
        <is>
          <t>ערוץ מפיצים</t>
        </is>
      </c>
      <c r="D240" s="11" t="inlineStr">
        <is>
          <t>הכנסות</t>
        </is>
      </c>
      <c r="E240" s="11" t="inlineStr">
        <is>
          <t>הכנסות ממכירות</t>
        </is>
      </c>
      <c r="F240" s="12" t="n">
        <v>279000</v>
      </c>
    </row>
    <row r="241">
      <c r="A241" s="11" t="inlineStr">
        <is>
          <t>יולי</t>
        </is>
      </c>
      <c r="B241" s="11" t="n">
        <v>7</v>
      </c>
      <c r="C241" s="11" t="inlineStr">
        <is>
          <t>שירות ותמיכה</t>
        </is>
      </c>
      <c r="D241" s="11" t="inlineStr">
        <is>
          <t>הכנסות</t>
        </is>
      </c>
      <c r="E241" s="11" t="inlineStr">
        <is>
          <t>הכנסות ממכירות</t>
        </is>
      </c>
      <c r="F241" s="12" t="n">
        <v>139500</v>
      </c>
    </row>
    <row r="242">
      <c r="A242" s="11" t="inlineStr">
        <is>
          <t>יולי</t>
        </is>
      </c>
      <c r="B242" s="11" t="n">
        <v>7</v>
      </c>
      <c r="C242" s="11" t="inlineStr">
        <is>
          <t>מכירות ישירות</t>
        </is>
      </c>
      <c r="D242" s="11" t="inlineStr">
        <is>
          <t>הכנסות</t>
        </is>
      </c>
      <c r="E242" s="11" t="inlineStr">
        <is>
          <t>הכנסות משירות</t>
        </is>
      </c>
      <c r="F242" s="12" t="n">
        <v>4312</v>
      </c>
    </row>
    <row r="243">
      <c r="A243" s="11" t="inlineStr">
        <is>
          <t>יולי</t>
        </is>
      </c>
      <c r="B243" s="11" t="n">
        <v>7</v>
      </c>
      <c r="C243" s="11" t="inlineStr">
        <is>
          <t>ערוץ מפיצים</t>
        </is>
      </c>
      <c r="D243" s="11" t="inlineStr">
        <is>
          <t>הכנסות</t>
        </is>
      </c>
      <c r="E243" s="11" t="inlineStr">
        <is>
          <t>הכנסות משירות</t>
        </is>
      </c>
      <c r="F243" s="12" t="n">
        <v>4312</v>
      </c>
    </row>
    <row r="244">
      <c r="A244" s="11" t="inlineStr">
        <is>
          <t>יולי</t>
        </is>
      </c>
      <c r="B244" s="11" t="n">
        <v>7</v>
      </c>
      <c r="C244" s="11" t="inlineStr">
        <is>
          <t>שירות ותמיכה</t>
        </is>
      </c>
      <c r="D244" s="11" t="inlineStr">
        <is>
          <t>הכנסות</t>
        </is>
      </c>
      <c r="E244" s="11" t="inlineStr">
        <is>
          <t>הכנסות משירות</t>
        </is>
      </c>
      <c r="F244" s="12" t="n">
        <v>77625</v>
      </c>
    </row>
    <row r="245">
      <c r="A245" s="11" t="inlineStr">
        <is>
          <t>יולי</t>
        </is>
      </c>
      <c r="B245" s="11" t="n">
        <v>7</v>
      </c>
      <c r="C245" s="11" t="inlineStr">
        <is>
          <t>מכירות ישירות</t>
        </is>
      </c>
      <c r="D245" s="11" t="inlineStr">
        <is>
          <t>עלות המכר</t>
        </is>
      </c>
      <c r="E245" s="11" t="inlineStr">
        <is>
          <t>עלות המכר</t>
        </is>
      </c>
      <c r="F245" s="12" t="n">
        <v>332475</v>
      </c>
    </row>
    <row r="246">
      <c r="A246" s="11" t="inlineStr">
        <is>
          <t>יולי</t>
        </is>
      </c>
      <c r="B246" s="11" t="n">
        <v>7</v>
      </c>
      <c r="C246" s="11" t="inlineStr">
        <is>
          <t>ערוץ מפיצים</t>
        </is>
      </c>
      <c r="D246" s="11" t="inlineStr">
        <is>
          <t>עלות המכר</t>
        </is>
      </c>
      <c r="E246" s="11" t="inlineStr">
        <is>
          <t>עלות המכר</t>
        </is>
      </c>
      <c r="F246" s="12" t="n">
        <v>181350</v>
      </c>
    </row>
    <row r="247">
      <c r="A247" s="11" t="inlineStr">
        <is>
          <t>יולי</t>
        </is>
      </c>
      <c r="B247" s="11" t="n">
        <v>7</v>
      </c>
      <c r="C247" s="11" t="inlineStr">
        <is>
          <t>שירות ותמיכה</t>
        </is>
      </c>
      <c r="D247" s="11" t="inlineStr">
        <is>
          <t>עלות המכר</t>
        </is>
      </c>
      <c r="E247" s="11" t="inlineStr">
        <is>
          <t>עלות המכר</t>
        </is>
      </c>
      <c r="F247" s="12" t="n">
        <v>90675</v>
      </c>
    </row>
    <row r="248">
      <c r="A248" s="11" t="inlineStr">
        <is>
          <t>יולי</t>
        </is>
      </c>
      <c r="B248" s="11" t="n">
        <v>7</v>
      </c>
      <c r="C248" s="11" t="inlineStr">
        <is>
          <t>מכירות ישירות</t>
        </is>
      </c>
      <c r="D248" s="11" t="inlineStr">
        <is>
          <t>הוצאות תפעול</t>
        </is>
      </c>
      <c r="E248" s="11" t="inlineStr">
        <is>
          <t>שכר ונלוות</t>
        </is>
      </c>
      <c r="F248" s="12" t="n">
        <v>84562</v>
      </c>
    </row>
    <row r="249">
      <c r="A249" s="11" t="inlineStr">
        <is>
          <t>יולי</t>
        </is>
      </c>
      <c r="B249" s="11" t="n">
        <v>7</v>
      </c>
      <c r="C249" s="11" t="inlineStr">
        <is>
          <t>ערוץ מפיצים</t>
        </is>
      </c>
      <c r="D249" s="11" t="inlineStr">
        <is>
          <t>הוצאות תפעול</t>
        </is>
      </c>
      <c r="E249" s="11" t="inlineStr">
        <is>
          <t>שכר ונלוות</t>
        </is>
      </c>
      <c r="F249" s="12" t="n">
        <v>46125</v>
      </c>
    </row>
    <row r="250">
      <c r="A250" s="11" t="inlineStr">
        <is>
          <t>יולי</t>
        </is>
      </c>
      <c r="B250" s="11" t="n">
        <v>7</v>
      </c>
      <c r="C250" s="11" t="inlineStr">
        <is>
          <t>שירות ותמיכה</t>
        </is>
      </c>
      <c r="D250" s="11" t="inlineStr">
        <is>
          <t>הוצאות תפעול</t>
        </is>
      </c>
      <c r="E250" s="11" t="inlineStr">
        <is>
          <t>שכר ונלוות</t>
        </is>
      </c>
      <c r="F250" s="12" t="n">
        <v>23062</v>
      </c>
    </row>
    <row r="251">
      <c r="A251" s="11" t="inlineStr">
        <is>
          <t>יולי</t>
        </is>
      </c>
      <c r="B251" s="11" t="n">
        <v>7</v>
      </c>
      <c r="C251" s="11" t="inlineStr">
        <is>
          <t>מכירות ישירות</t>
        </is>
      </c>
      <c r="D251" s="11" t="inlineStr">
        <is>
          <t>הוצאות תפעול</t>
        </is>
      </c>
      <c r="E251" s="11" t="inlineStr">
        <is>
          <t>שכר דירה ואחזקה</t>
        </is>
      </c>
      <c r="F251" s="12" t="n">
        <v>10098</v>
      </c>
    </row>
    <row r="252">
      <c r="A252" s="11" t="inlineStr">
        <is>
          <t>יולי</t>
        </is>
      </c>
      <c r="B252" s="11" t="n">
        <v>7</v>
      </c>
      <c r="C252" s="11" t="inlineStr">
        <is>
          <t>ערוץ מפיצים</t>
        </is>
      </c>
      <c r="D252" s="11" t="inlineStr">
        <is>
          <t>הוצאות תפעול</t>
        </is>
      </c>
      <c r="E252" s="11" t="inlineStr">
        <is>
          <t>שכר דירה ואחזקה</t>
        </is>
      </c>
      <c r="F252" s="12" t="n">
        <v>9801</v>
      </c>
    </row>
    <row r="253">
      <c r="A253" s="11" t="inlineStr">
        <is>
          <t>יולי</t>
        </is>
      </c>
      <c r="B253" s="11" t="n">
        <v>7</v>
      </c>
      <c r="C253" s="11" t="inlineStr">
        <is>
          <t>שירות ותמיכה</t>
        </is>
      </c>
      <c r="D253" s="11" t="inlineStr">
        <is>
          <t>הוצאות תפעול</t>
        </is>
      </c>
      <c r="E253" s="11" t="inlineStr">
        <is>
          <t>שכר דירה ואחזקה</t>
        </is>
      </c>
      <c r="F253" s="12" t="n">
        <v>9801</v>
      </c>
    </row>
    <row r="254">
      <c r="A254" s="11" t="inlineStr">
        <is>
          <t>יולי</t>
        </is>
      </c>
      <c r="B254" s="11" t="n">
        <v>7</v>
      </c>
      <c r="C254" s="11" t="inlineStr">
        <is>
          <t>מכירות ישירות</t>
        </is>
      </c>
      <c r="D254" s="11" t="inlineStr">
        <is>
          <t>הוצאות תפעול</t>
        </is>
      </c>
      <c r="E254" s="11" t="inlineStr">
        <is>
          <t>הוצאות רכב</t>
        </is>
      </c>
      <c r="F254" s="12" t="n">
        <v>8828</v>
      </c>
    </row>
    <row r="255">
      <c r="A255" s="11" t="inlineStr">
        <is>
          <t>יולי</t>
        </is>
      </c>
      <c r="B255" s="11" t="n">
        <v>7</v>
      </c>
      <c r="C255" s="11" t="inlineStr">
        <is>
          <t>ערוץ מפיצים</t>
        </is>
      </c>
      <c r="D255" s="11" t="inlineStr">
        <is>
          <t>הוצאות תפעול</t>
        </is>
      </c>
      <c r="E255" s="11" t="inlineStr">
        <is>
          <t>הוצאות רכב</t>
        </is>
      </c>
      <c r="F255" s="12" t="n">
        <v>4815</v>
      </c>
    </row>
    <row r="256">
      <c r="A256" s="11" t="inlineStr">
        <is>
          <t>יולי</t>
        </is>
      </c>
      <c r="B256" s="11" t="n">
        <v>7</v>
      </c>
      <c r="C256" s="11" t="inlineStr">
        <is>
          <t>שירות ותמיכה</t>
        </is>
      </c>
      <c r="D256" s="11" t="inlineStr">
        <is>
          <t>הוצאות תפעול</t>
        </is>
      </c>
      <c r="E256" s="11" t="inlineStr">
        <is>
          <t>הוצאות רכב</t>
        </is>
      </c>
      <c r="F256" s="12" t="n">
        <v>2408</v>
      </c>
    </row>
    <row r="257">
      <c r="A257" s="11" t="inlineStr">
        <is>
          <t>יולי</t>
        </is>
      </c>
      <c r="B257" s="11" t="n">
        <v>7</v>
      </c>
      <c r="C257" s="11" t="inlineStr">
        <is>
          <t>מכירות ישירות</t>
        </is>
      </c>
      <c r="D257" s="11" t="inlineStr">
        <is>
          <t>הוצאות תפעול</t>
        </is>
      </c>
      <c r="E257" s="11" t="inlineStr">
        <is>
          <t>פרסום ושיווק</t>
        </is>
      </c>
      <c r="F257" s="12" t="n">
        <v>13613</v>
      </c>
    </row>
    <row r="258">
      <c r="A258" s="11" t="inlineStr">
        <is>
          <t>יולי</t>
        </is>
      </c>
      <c r="B258" s="11" t="n">
        <v>7</v>
      </c>
      <c r="C258" s="11" t="inlineStr">
        <is>
          <t>ערוץ מפיצים</t>
        </is>
      </c>
      <c r="D258" s="11" t="inlineStr">
        <is>
          <t>הוצאות תפעול</t>
        </is>
      </c>
      <c r="E258" s="11" t="inlineStr">
        <is>
          <t>פרסום ושיווק</t>
        </is>
      </c>
      <c r="F258" s="12" t="n">
        <v>7425</v>
      </c>
    </row>
    <row r="259">
      <c r="A259" s="11" t="inlineStr">
        <is>
          <t>יולי</t>
        </is>
      </c>
      <c r="B259" s="11" t="n">
        <v>7</v>
      </c>
      <c r="C259" s="11" t="inlineStr">
        <is>
          <t>שירות ותמיכה</t>
        </is>
      </c>
      <c r="D259" s="11" t="inlineStr">
        <is>
          <t>הוצאות תפעול</t>
        </is>
      </c>
      <c r="E259" s="11" t="inlineStr">
        <is>
          <t>פרסום ושיווק</t>
        </is>
      </c>
      <c r="F259" s="12" t="n">
        <v>3712</v>
      </c>
    </row>
    <row r="260">
      <c r="A260" s="11" t="inlineStr">
        <is>
          <t>יולי</t>
        </is>
      </c>
      <c r="B260" s="11" t="n">
        <v>7</v>
      </c>
      <c r="C260" s="11" t="inlineStr">
        <is>
          <t>מכירות ישירות</t>
        </is>
      </c>
      <c r="D260" s="11" t="inlineStr">
        <is>
          <t>הוצאות תפעול</t>
        </is>
      </c>
      <c r="E260" s="11" t="inlineStr">
        <is>
          <t>כיבודים ואירוח</t>
        </is>
      </c>
      <c r="F260" s="12" t="n">
        <v>1980</v>
      </c>
    </row>
    <row r="261">
      <c r="A261" s="11" t="inlineStr">
        <is>
          <t>יולי</t>
        </is>
      </c>
      <c r="B261" s="11" t="n">
        <v>7</v>
      </c>
      <c r="C261" s="11" t="inlineStr">
        <is>
          <t>ערוץ מפיצים</t>
        </is>
      </c>
      <c r="D261" s="11" t="inlineStr">
        <is>
          <t>הוצאות תפעול</t>
        </is>
      </c>
      <c r="E261" s="11" t="inlineStr">
        <is>
          <t>כיבודים ואירוח</t>
        </is>
      </c>
      <c r="F261" s="12" t="n">
        <v>1080</v>
      </c>
    </row>
    <row r="262">
      <c r="A262" s="11" t="inlineStr">
        <is>
          <t>יולי</t>
        </is>
      </c>
      <c r="B262" s="11" t="n">
        <v>7</v>
      </c>
      <c r="C262" s="11" t="inlineStr">
        <is>
          <t>שירות ותמיכה</t>
        </is>
      </c>
      <c r="D262" s="11" t="inlineStr">
        <is>
          <t>הוצאות תפעול</t>
        </is>
      </c>
      <c r="E262" s="11" t="inlineStr">
        <is>
          <t>כיבודים ואירוח</t>
        </is>
      </c>
      <c r="F262" s="12" t="n">
        <v>540</v>
      </c>
    </row>
    <row r="263">
      <c r="A263" s="11" t="inlineStr">
        <is>
          <t>יולי</t>
        </is>
      </c>
      <c r="B263" s="11" t="n">
        <v>7</v>
      </c>
      <c r="C263" s="11" t="inlineStr">
        <is>
          <t>מכירות ישירות</t>
        </is>
      </c>
      <c r="D263" s="11" t="inlineStr">
        <is>
          <t>הוצאות תפעול</t>
        </is>
      </c>
      <c r="E263" s="11" t="inlineStr">
        <is>
          <t>הוצאות משרד</t>
        </is>
      </c>
      <c r="F263" s="12" t="n">
        <v>5198</v>
      </c>
    </row>
    <row r="264">
      <c r="A264" s="11" t="inlineStr">
        <is>
          <t>יולי</t>
        </is>
      </c>
      <c r="B264" s="11" t="n">
        <v>7</v>
      </c>
      <c r="C264" s="11" t="inlineStr">
        <is>
          <t>ערוץ מפיצים</t>
        </is>
      </c>
      <c r="D264" s="11" t="inlineStr">
        <is>
          <t>הוצאות תפעול</t>
        </is>
      </c>
      <c r="E264" s="11" t="inlineStr">
        <is>
          <t>הוצאות משרד</t>
        </is>
      </c>
      <c r="F264" s="12" t="n">
        <v>2835</v>
      </c>
    </row>
    <row r="265">
      <c r="A265" s="11" t="inlineStr">
        <is>
          <t>יולי</t>
        </is>
      </c>
      <c r="B265" s="11" t="n">
        <v>7</v>
      </c>
      <c r="C265" s="11" t="inlineStr">
        <is>
          <t>שירות ותמיכה</t>
        </is>
      </c>
      <c r="D265" s="11" t="inlineStr">
        <is>
          <t>הוצאות תפעול</t>
        </is>
      </c>
      <c r="E265" s="11" t="inlineStr">
        <is>
          <t>הוצאות משרד</t>
        </is>
      </c>
      <c r="F265" s="12" t="n">
        <v>1418</v>
      </c>
    </row>
    <row r="266">
      <c r="A266" s="11" t="inlineStr">
        <is>
          <t>יולי</t>
        </is>
      </c>
      <c r="B266" s="11" t="n">
        <v>7</v>
      </c>
      <c r="C266" s="11" t="inlineStr">
        <is>
          <t>מכירות ישירות</t>
        </is>
      </c>
      <c r="D266" s="11" t="inlineStr">
        <is>
          <t>הוצאות תפעול</t>
        </is>
      </c>
      <c r="E266" s="11" t="inlineStr">
        <is>
          <t>עמלות סליקה</t>
        </is>
      </c>
      <c r="F266" s="12" t="n">
        <v>6270</v>
      </c>
    </row>
    <row r="267">
      <c r="A267" s="11" t="inlineStr">
        <is>
          <t>יולי</t>
        </is>
      </c>
      <c r="B267" s="11" t="n">
        <v>7</v>
      </c>
      <c r="C267" s="11" t="inlineStr">
        <is>
          <t>ערוץ מפיצים</t>
        </is>
      </c>
      <c r="D267" s="11" t="inlineStr">
        <is>
          <t>הוצאות תפעול</t>
        </is>
      </c>
      <c r="E267" s="11" t="inlineStr">
        <is>
          <t>עמלות סליקה</t>
        </is>
      </c>
      <c r="F267" s="12" t="n">
        <v>3420</v>
      </c>
    </row>
    <row r="268">
      <c r="A268" s="11" t="inlineStr">
        <is>
          <t>יולי</t>
        </is>
      </c>
      <c r="B268" s="11" t="n">
        <v>7</v>
      </c>
      <c r="C268" s="11" t="inlineStr">
        <is>
          <t>שירות ותמיכה</t>
        </is>
      </c>
      <c r="D268" s="11" t="inlineStr">
        <is>
          <t>הוצאות תפעול</t>
        </is>
      </c>
      <c r="E268" s="11" t="inlineStr">
        <is>
          <t>עמלות סליקה</t>
        </is>
      </c>
      <c r="F268" s="12" t="n">
        <v>1710</v>
      </c>
    </row>
    <row r="269">
      <c r="A269" s="11" t="inlineStr">
        <is>
          <t>יולי</t>
        </is>
      </c>
      <c r="B269" s="11" t="n">
        <v>7</v>
      </c>
      <c r="C269" s="11" t="inlineStr">
        <is>
          <t>מכירות ישירות</t>
        </is>
      </c>
      <c r="D269" s="11" t="inlineStr">
        <is>
          <t>הוצאות תפעול</t>
        </is>
      </c>
      <c r="E269" s="11" t="inlineStr">
        <is>
          <t>ייעוץ מקצועי</t>
        </is>
      </c>
      <c r="F269" s="12" t="n">
        <v>4868</v>
      </c>
    </row>
    <row r="270">
      <c r="A270" s="11" t="inlineStr">
        <is>
          <t>יולי</t>
        </is>
      </c>
      <c r="B270" s="11" t="n">
        <v>7</v>
      </c>
      <c r="C270" s="11" t="inlineStr">
        <is>
          <t>ערוץ מפיצים</t>
        </is>
      </c>
      <c r="D270" s="11" t="inlineStr">
        <is>
          <t>הוצאות תפעול</t>
        </is>
      </c>
      <c r="E270" s="11" t="inlineStr">
        <is>
          <t>ייעוץ מקצועי</t>
        </is>
      </c>
      <c r="F270" s="12" t="n">
        <v>2655</v>
      </c>
    </row>
    <row r="271">
      <c r="A271" s="11" t="inlineStr">
        <is>
          <t>יולי</t>
        </is>
      </c>
      <c r="B271" s="11" t="n">
        <v>7</v>
      </c>
      <c r="C271" s="11" t="inlineStr">
        <is>
          <t>שירות ותמיכה</t>
        </is>
      </c>
      <c r="D271" s="11" t="inlineStr">
        <is>
          <t>הוצאות תפעול</t>
        </is>
      </c>
      <c r="E271" s="11" t="inlineStr">
        <is>
          <t>ייעוץ מקצועי</t>
        </is>
      </c>
      <c r="F271" s="12" t="n">
        <v>1328</v>
      </c>
    </row>
    <row r="272">
      <c r="A272" s="11" t="inlineStr">
        <is>
          <t>יולי</t>
        </is>
      </c>
      <c r="B272" s="11" t="n">
        <v>7</v>
      </c>
      <c r="C272" s="11" t="inlineStr">
        <is>
          <t>מכירות ישירות</t>
        </is>
      </c>
      <c r="D272" s="11" t="inlineStr">
        <is>
          <t>הוצאות תפעול</t>
        </is>
      </c>
      <c r="E272" s="11" t="inlineStr">
        <is>
          <t>פחת</t>
        </is>
      </c>
      <c r="F272" s="12" t="n">
        <v>4590</v>
      </c>
    </row>
    <row r="273">
      <c r="A273" s="11" t="inlineStr">
        <is>
          <t>יולי</t>
        </is>
      </c>
      <c r="B273" s="11" t="n">
        <v>7</v>
      </c>
      <c r="C273" s="11" t="inlineStr">
        <is>
          <t>ערוץ מפיצים</t>
        </is>
      </c>
      <c r="D273" s="11" t="inlineStr">
        <is>
          <t>הוצאות תפעול</t>
        </is>
      </c>
      <c r="E273" s="11" t="inlineStr">
        <is>
          <t>פחת</t>
        </is>
      </c>
      <c r="F273" s="12" t="n">
        <v>4455</v>
      </c>
    </row>
    <row r="274">
      <c r="A274" s="11" t="inlineStr">
        <is>
          <t>יולי</t>
        </is>
      </c>
      <c r="B274" s="11" t="n">
        <v>7</v>
      </c>
      <c r="C274" s="11" t="inlineStr">
        <is>
          <t>שירות ותמיכה</t>
        </is>
      </c>
      <c r="D274" s="11" t="inlineStr">
        <is>
          <t>הוצאות תפעול</t>
        </is>
      </c>
      <c r="E274" s="11" t="inlineStr">
        <is>
          <t>פחת</t>
        </is>
      </c>
      <c r="F274" s="12" t="n">
        <v>4455</v>
      </c>
    </row>
    <row r="275">
      <c r="A275" s="11" t="inlineStr">
        <is>
          <t>יולי</t>
        </is>
      </c>
      <c r="B275" s="11" t="n">
        <v>7</v>
      </c>
      <c r="C275" s="11" t="inlineStr">
        <is>
          <t>מכירות ישירות</t>
        </is>
      </c>
      <c r="D275" s="11" t="inlineStr">
        <is>
          <t>הוצאות תפעול</t>
        </is>
      </c>
      <c r="E275" s="11" t="inlineStr">
        <is>
          <t>הוצאות מימון</t>
        </is>
      </c>
      <c r="F275" s="12" t="n">
        <v>2448</v>
      </c>
    </row>
    <row r="276">
      <c r="A276" s="11" t="inlineStr">
        <is>
          <t>יולי</t>
        </is>
      </c>
      <c r="B276" s="11" t="n">
        <v>7</v>
      </c>
      <c r="C276" s="11" t="inlineStr">
        <is>
          <t>ערוץ מפיצים</t>
        </is>
      </c>
      <c r="D276" s="11" t="inlineStr">
        <is>
          <t>הוצאות תפעול</t>
        </is>
      </c>
      <c r="E276" s="11" t="inlineStr">
        <is>
          <t>הוצאות מימון</t>
        </is>
      </c>
      <c r="F276" s="12" t="n">
        <v>2376</v>
      </c>
    </row>
    <row r="277">
      <c r="A277" s="11" t="inlineStr">
        <is>
          <t>יולי</t>
        </is>
      </c>
      <c r="B277" s="11" t="n">
        <v>7</v>
      </c>
      <c r="C277" s="11" t="inlineStr">
        <is>
          <t>שירות ותמיכה</t>
        </is>
      </c>
      <c r="D277" s="11" t="inlineStr">
        <is>
          <t>הוצאות תפעול</t>
        </is>
      </c>
      <c r="E277" s="11" t="inlineStr">
        <is>
          <t>הוצאות מימון</t>
        </is>
      </c>
      <c r="F277" s="12" t="n">
        <v>2376</v>
      </c>
    </row>
    <row r="278">
      <c r="A278" s="11" t="inlineStr">
        <is>
          <t>אוגוסט</t>
        </is>
      </c>
      <c r="B278" s="11" t="n">
        <v>8</v>
      </c>
      <c r="C278" s="11" t="inlineStr">
        <is>
          <t>מכירות ישירות</t>
        </is>
      </c>
      <c r="D278" s="11" t="inlineStr">
        <is>
          <t>הכנסות</t>
        </is>
      </c>
      <c r="E278" s="11" t="inlineStr">
        <is>
          <t>הכנסות ממכירות</t>
        </is>
      </c>
      <c r="F278" s="12" t="n">
        <v>463760</v>
      </c>
    </row>
    <row r="279">
      <c r="A279" s="11" t="inlineStr">
        <is>
          <t>אוגוסט</t>
        </is>
      </c>
      <c r="B279" s="11" t="n">
        <v>8</v>
      </c>
      <c r="C279" s="11" t="inlineStr">
        <is>
          <t>ערוץ מפיצים</t>
        </is>
      </c>
      <c r="D279" s="11" t="inlineStr">
        <is>
          <t>הכנסות</t>
        </is>
      </c>
      <c r="E279" s="11" t="inlineStr">
        <is>
          <t>הכנסות ממכירות</t>
        </is>
      </c>
      <c r="F279" s="12" t="n">
        <v>252960</v>
      </c>
    </row>
    <row r="280">
      <c r="A280" s="11" t="inlineStr">
        <is>
          <t>אוגוסט</t>
        </is>
      </c>
      <c r="B280" s="11" t="n">
        <v>8</v>
      </c>
      <c r="C280" s="11" t="inlineStr">
        <is>
          <t>שירות ותמיכה</t>
        </is>
      </c>
      <c r="D280" s="11" t="inlineStr">
        <is>
          <t>הכנסות</t>
        </is>
      </c>
      <c r="E280" s="11" t="inlineStr">
        <is>
          <t>הכנסות ממכירות</t>
        </is>
      </c>
      <c r="F280" s="12" t="n">
        <v>126480</v>
      </c>
    </row>
    <row r="281">
      <c r="A281" s="11" t="inlineStr">
        <is>
          <t>אוגוסט</t>
        </is>
      </c>
      <c r="B281" s="11" t="n">
        <v>8</v>
      </c>
      <c r="C281" s="11" t="inlineStr">
        <is>
          <t>מכירות ישירות</t>
        </is>
      </c>
      <c r="D281" s="11" t="inlineStr">
        <is>
          <t>הכנסות</t>
        </is>
      </c>
      <c r="E281" s="11" t="inlineStr">
        <is>
          <t>הכנסות משירות</t>
        </is>
      </c>
      <c r="F281" s="12" t="n">
        <v>3910</v>
      </c>
    </row>
    <row r="282">
      <c r="A282" s="11" t="inlineStr">
        <is>
          <t>אוגוסט</t>
        </is>
      </c>
      <c r="B282" s="11" t="n">
        <v>8</v>
      </c>
      <c r="C282" s="11" t="inlineStr">
        <is>
          <t>ערוץ מפיצים</t>
        </is>
      </c>
      <c r="D282" s="11" t="inlineStr">
        <is>
          <t>הכנסות</t>
        </is>
      </c>
      <c r="E282" s="11" t="inlineStr">
        <is>
          <t>הכנסות משירות</t>
        </is>
      </c>
      <c r="F282" s="12" t="n">
        <v>3910</v>
      </c>
    </row>
    <row r="283">
      <c r="A283" s="11" t="inlineStr">
        <is>
          <t>אוגוסט</t>
        </is>
      </c>
      <c r="B283" s="11" t="n">
        <v>8</v>
      </c>
      <c r="C283" s="11" t="inlineStr">
        <is>
          <t>שירות ותמיכה</t>
        </is>
      </c>
      <c r="D283" s="11" t="inlineStr">
        <is>
          <t>הכנסות</t>
        </is>
      </c>
      <c r="E283" s="11" t="inlineStr">
        <is>
          <t>הכנסות משירות</t>
        </is>
      </c>
      <c r="F283" s="12" t="n">
        <v>70380</v>
      </c>
    </row>
    <row r="284">
      <c r="A284" s="11" t="inlineStr">
        <is>
          <t>אוגוסט</t>
        </is>
      </c>
      <c r="B284" s="11" t="n">
        <v>8</v>
      </c>
      <c r="C284" s="11" t="inlineStr">
        <is>
          <t>מכירות ישירות</t>
        </is>
      </c>
      <c r="D284" s="11" t="inlineStr">
        <is>
          <t>עלות המכר</t>
        </is>
      </c>
      <c r="E284" s="11" t="inlineStr">
        <is>
          <t>עלות המכר</t>
        </is>
      </c>
      <c r="F284" s="12" t="n">
        <v>301444</v>
      </c>
    </row>
    <row r="285">
      <c r="A285" s="11" t="inlineStr">
        <is>
          <t>אוגוסט</t>
        </is>
      </c>
      <c r="B285" s="11" t="n">
        <v>8</v>
      </c>
      <c r="C285" s="11" t="inlineStr">
        <is>
          <t>ערוץ מפיצים</t>
        </is>
      </c>
      <c r="D285" s="11" t="inlineStr">
        <is>
          <t>עלות המכר</t>
        </is>
      </c>
      <c r="E285" s="11" t="inlineStr">
        <is>
          <t>עלות המכר</t>
        </is>
      </c>
      <c r="F285" s="12" t="n">
        <v>164424</v>
      </c>
    </row>
    <row r="286">
      <c r="A286" s="11" t="inlineStr">
        <is>
          <t>אוגוסט</t>
        </is>
      </c>
      <c r="B286" s="11" t="n">
        <v>8</v>
      </c>
      <c r="C286" s="11" t="inlineStr">
        <is>
          <t>שירות ותמיכה</t>
        </is>
      </c>
      <c r="D286" s="11" t="inlineStr">
        <is>
          <t>עלות המכר</t>
        </is>
      </c>
      <c r="E286" s="11" t="inlineStr">
        <is>
          <t>עלות המכר</t>
        </is>
      </c>
      <c r="F286" s="12" t="n">
        <v>82212</v>
      </c>
    </row>
    <row r="287">
      <c r="A287" s="11" t="inlineStr">
        <is>
          <t>אוגוסט</t>
        </is>
      </c>
      <c r="B287" s="11" t="n">
        <v>8</v>
      </c>
      <c r="C287" s="11" t="inlineStr">
        <is>
          <t>מכירות ישירות</t>
        </is>
      </c>
      <c r="D287" s="11" t="inlineStr">
        <is>
          <t>הוצאות תפעול</t>
        </is>
      </c>
      <c r="E287" s="11" t="inlineStr">
        <is>
          <t>שכר ונלוות</t>
        </is>
      </c>
      <c r="F287" s="12" t="n">
        <v>76670</v>
      </c>
    </row>
    <row r="288">
      <c r="A288" s="11" t="inlineStr">
        <is>
          <t>אוגוסט</t>
        </is>
      </c>
      <c r="B288" s="11" t="n">
        <v>8</v>
      </c>
      <c r="C288" s="11" t="inlineStr">
        <is>
          <t>ערוץ מפיצים</t>
        </is>
      </c>
      <c r="D288" s="11" t="inlineStr">
        <is>
          <t>הוצאות תפעול</t>
        </is>
      </c>
      <c r="E288" s="11" t="inlineStr">
        <is>
          <t>שכר ונלוות</t>
        </is>
      </c>
      <c r="F288" s="12" t="n">
        <v>41820</v>
      </c>
    </row>
    <row r="289">
      <c r="A289" s="11" t="inlineStr">
        <is>
          <t>אוגוסט</t>
        </is>
      </c>
      <c r="B289" s="11" t="n">
        <v>8</v>
      </c>
      <c r="C289" s="11" t="inlineStr">
        <is>
          <t>שירות ותמיכה</t>
        </is>
      </c>
      <c r="D289" s="11" t="inlineStr">
        <is>
          <t>הוצאות תפעול</t>
        </is>
      </c>
      <c r="E289" s="11" t="inlineStr">
        <is>
          <t>שכר ונלוות</t>
        </is>
      </c>
      <c r="F289" s="12" t="n">
        <v>20910</v>
      </c>
    </row>
    <row r="290">
      <c r="A290" s="11" t="inlineStr">
        <is>
          <t>אוגוסט</t>
        </is>
      </c>
      <c r="B290" s="11" t="n">
        <v>8</v>
      </c>
      <c r="C290" s="11" t="inlineStr">
        <is>
          <t>מכירות ישירות</t>
        </is>
      </c>
      <c r="D290" s="11" t="inlineStr">
        <is>
          <t>הוצאות תפעול</t>
        </is>
      </c>
      <c r="E290" s="11" t="inlineStr">
        <is>
          <t>שכר דירה ואחזקה</t>
        </is>
      </c>
      <c r="F290" s="12" t="n">
        <v>9156</v>
      </c>
    </row>
    <row r="291">
      <c r="A291" s="11" t="inlineStr">
        <is>
          <t>אוגוסט</t>
        </is>
      </c>
      <c r="B291" s="11" t="n">
        <v>8</v>
      </c>
      <c r="C291" s="11" t="inlineStr">
        <is>
          <t>ערוץ מפיצים</t>
        </is>
      </c>
      <c r="D291" s="11" t="inlineStr">
        <is>
          <t>הוצאות תפעול</t>
        </is>
      </c>
      <c r="E291" s="11" t="inlineStr">
        <is>
          <t>שכר דירה ואחזקה</t>
        </is>
      </c>
      <c r="F291" s="12" t="n">
        <v>8886</v>
      </c>
    </row>
    <row r="292">
      <c r="A292" s="11" t="inlineStr">
        <is>
          <t>אוגוסט</t>
        </is>
      </c>
      <c r="B292" s="11" t="n">
        <v>8</v>
      </c>
      <c r="C292" s="11" t="inlineStr">
        <is>
          <t>שירות ותמיכה</t>
        </is>
      </c>
      <c r="D292" s="11" t="inlineStr">
        <is>
          <t>הוצאות תפעול</t>
        </is>
      </c>
      <c r="E292" s="11" t="inlineStr">
        <is>
          <t>שכר דירה ואחזקה</t>
        </is>
      </c>
      <c r="F292" s="12" t="n">
        <v>8886</v>
      </c>
    </row>
    <row r="293">
      <c r="A293" s="11" t="inlineStr">
        <is>
          <t>אוגוסט</t>
        </is>
      </c>
      <c r="B293" s="11" t="n">
        <v>8</v>
      </c>
      <c r="C293" s="11" t="inlineStr">
        <is>
          <t>מכירות ישירות</t>
        </is>
      </c>
      <c r="D293" s="11" t="inlineStr">
        <is>
          <t>הוצאות תפעול</t>
        </is>
      </c>
      <c r="E293" s="11" t="inlineStr">
        <is>
          <t>הוצאות רכב</t>
        </is>
      </c>
      <c r="F293" s="12" t="n">
        <v>8004</v>
      </c>
    </row>
    <row r="294">
      <c r="A294" s="11" t="inlineStr">
        <is>
          <t>אוגוסט</t>
        </is>
      </c>
      <c r="B294" s="11" t="n">
        <v>8</v>
      </c>
      <c r="C294" s="11" t="inlineStr">
        <is>
          <t>ערוץ מפיצים</t>
        </is>
      </c>
      <c r="D294" s="11" t="inlineStr">
        <is>
          <t>הוצאות תפעול</t>
        </is>
      </c>
      <c r="E294" s="11" t="inlineStr">
        <is>
          <t>הוצאות רכב</t>
        </is>
      </c>
      <c r="F294" s="12" t="n">
        <v>4366</v>
      </c>
    </row>
    <row r="295">
      <c r="A295" s="11" t="inlineStr">
        <is>
          <t>אוגוסט</t>
        </is>
      </c>
      <c r="B295" s="11" t="n">
        <v>8</v>
      </c>
      <c r="C295" s="11" t="inlineStr">
        <is>
          <t>שירות ותמיכה</t>
        </is>
      </c>
      <c r="D295" s="11" t="inlineStr">
        <is>
          <t>הוצאות תפעול</t>
        </is>
      </c>
      <c r="E295" s="11" t="inlineStr">
        <is>
          <t>הוצאות רכב</t>
        </is>
      </c>
      <c r="F295" s="12" t="n">
        <v>2183</v>
      </c>
    </row>
    <row r="296">
      <c r="A296" s="11" t="inlineStr">
        <is>
          <t>אוגוסט</t>
        </is>
      </c>
      <c r="B296" s="11" t="n">
        <v>8</v>
      </c>
      <c r="C296" s="11" t="inlineStr">
        <is>
          <t>מכירות ישירות</t>
        </is>
      </c>
      <c r="D296" s="11" t="inlineStr">
        <is>
          <t>הוצאות תפעול</t>
        </is>
      </c>
      <c r="E296" s="11" t="inlineStr">
        <is>
          <t>פרסום ושיווק</t>
        </is>
      </c>
      <c r="F296" s="12" t="n">
        <v>12342</v>
      </c>
    </row>
    <row r="297">
      <c r="A297" s="11" t="inlineStr">
        <is>
          <t>אוגוסט</t>
        </is>
      </c>
      <c r="B297" s="11" t="n">
        <v>8</v>
      </c>
      <c r="C297" s="11" t="inlineStr">
        <is>
          <t>ערוץ מפיצים</t>
        </is>
      </c>
      <c r="D297" s="11" t="inlineStr">
        <is>
          <t>הוצאות תפעול</t>
        </is>
      </c>
      <c r="E297" s="11" t="inlineStr">
        <is>
          <t>פרסום ושיווק</t>
        </is>
      </c>
      <c r="F297" s="12" t="n">
        <v>6732</v>
      </c>
    </row>
    <row r="298">
      <c r="A298" s="11" t="inlineStr">
        <is>
          <t>אוגוסט</t>
        </is>
      </c>
      <c r="B298" s="11" t="n">
        <v>8</v>
      </c>
      <c r="C298" s="11" t="inlineStr">
        <is>
          <t>שירות ותמיכה</t>
        </is>
      </c>
      <c r="D298" s="11" t="inlineStr">
        <is>
          <t>הוצאות תפעול</t>
        </is>
      </c>
      <c r="E298" s="11" t="inlineStr">
        <is>
          <t>פרסום ושיווק</t>
        </is>
      </c>
      <c r="F298" s="12" t="n">
        <v>3366</v>
      </c>
    </row>
    <row r="299">
      <c r="A299" s="11" t="inlineStr">
        <is>
          <t>אוגוסט</t>
        </is>
      </c>
      <c r="B299" s="11" t="n">
        <v>8</v>
      </c>
      <c r="C299" s="11" t="inlineStr">
        <is>
          <t>מכירות ישירות</t>
        </is>
      </c>
      <c r="D299" s="11" t="inlineStr">
        <is>
          <t>הוצאות תפעול</t>
        </is>
      </c>
      <c r="E299" s="11" t="inlineStr">
        <is>
          <t>כיבודים ואירוח</t>
        </is>
      </c>
      <c r="F299" s="12" t="n">
        <v>1795</v>
      </c>
    </row>
    <row r="300">
      <c r="A300" s="11" t="inlineStr">
        <is>
          <t>אוגוסט</t>
        </is>
      </c>
      <c r="B300" s="11" t="n">
        <v>8</v>
      </c>
      <c r="C300" s="11" t="inlineStr">
        <is>
          <t>ערוץ מפיצים</t>
        </is>
      </c>
      <c r="D300" s="11" t="inlineStr">
        <is>
          <t>הוצאות תפעול</t>
        </is>
      </c>
      <c r="E300" s="11" t="inlineStr">
        <is>
          <t>כיבודים ואירוח</t>
        </is>
      </c>
      <c r="F300" s="12" t="n">
        <v>979</v>
      </c>
    </row>
    <row r="301">
      <c r="A301" s="11" t="inlineStr">
        <is>
          <t>אוגוסט</t>
        </is>
      </c>
      <c r="B301" s="11" t="n">
        <v>8</v>
      </c>
      <c r="C301" s="11" t="inlineStr">
        <is>
          <t>שירות ותמיכה</t>
        </is>
      </c>
      <c r="D301" s="11" t="inlineStr">
        <is>
          <t>הוצאות תפעול</t>
        </is>
      </c>
      <c r="E301" s="11" t="inlineStr">
        <is>
          <t>כיבודים ואירוח</t>
        </is>
      </c>
      <c r="F301" s="12" t="n">
        <v>490</v>
      </c>
    </row>
    <row r="302">
      <c r="A302" s="11" t="inlineStr">
        <is>
          <t>אוגוסט</t>
        </is>
      </c>
      <c r="B302" s="11" t="n">
        <v>8</v>
      </c>
      <c r="C302" s="11" t="inlineStr">
        <is>
          <t>מכירות ישירות</t>
        </is>
      </c>
      <c r="D302" s="11" t="inlineStr">
        <is>
          <t>הוצאות תפעול</t>
        </is>
      </c>
      <c r="E302" s="11" t="inlineStr">
        <is>
          <t>הוצאות משרד</t>
        </is>
      </c>
      <c r="F302" s="12" t="n">
        <v>4712</v>
      </c>
    </row>
    <row r="303">
      <c r="A303" s="11" t="inlineStr">
        <is>
          <t>אוגוסט</t>
        </is>
      </c>
      <c r="B303" s="11" t="n">
        <v>8</v>
      </c>
      <c r="C303" s="11" t="inlineStr">
        <is>
          <t>ערוץ מפיצים</t>
        </is>
      </c>
      <c r="D303" s="11" t="inlineStr">
        <is>
          <t>הוצאות תפעול</t>
        </is>
      </c>
      <c r="E303" s="11" t="inlineStr">
        <is>
          <t>הוצאות משרד</t>
        </is>
      </c>
      <c r="F303" s="12" t="n">
        <v>2570</v>
      </c>
    </row>
    <row r="304">
      <c r="A304" s="11" t="inlineStr">
        <is>
          <t>אוגוסט</t>
        </is>
      </c>
      <c r="B304" s="11" t="n">
        <v>8</v>
      </c>
      <c r="C304" s="11" t="inlineStr">
        <is>
          <t>שירות ותמיכה</t>
        </is>
      </c>
      <c r="D304" s="11" t="inlineStr">
        <is>
          <t>הוצאות תפעול</t>
        </is>
      </c>
      <c r="E304" s="11" t="inlineStr">
        <is>
          <t>הוצאות משרד</t>
        </is>
      </c>
      <c r="F304" s="12" t="n">
        <v>1285</v>
      </c>
    </row>
    <row r="305">
      <c r="A305" s="11" t="inlineStr">
        <is>
          <t>אוגוסט</t>
        </is>
      </c>
      <c r="B305" s="11" t="n">
        <v>8</v>
      </c>
      <c r="C305" s="11" t="inlineStr">
        <is>
          <t>מכירות ישירות</t>
        </is>
      </c>
      <c r="D305" s="11" t="inlineStr">
        <is>
          <t>הוצאות תפעול</t>
        </is>
      </c>
      <c r="E305" s="11" t="inlineStr">
        <is>
          <t>עמלות סליקה</t>
        </is>
      </c>
      <c r="F305" s="12" t="n">
        <v>5685</v>
      </c>
    </row>
    <row r="306">
      <c r="A306" s="11" t="inlineStr">
        <is>
          <t>אוגוסט</t>
        </is>
      </c>
      <c r="B306" s="11" t="n">
        <v>8</v>
      </c>
      <c r="C306" s="11" t="inlineStr">
        <is>
          <t>ערוץ מפיצים</t>
        </is>
      </c>
      <c r="D306" s="11" t="inlineStr">
        <is>
          <t>הוצאות תפעול</t>
        </is>
      </c>
      <c r="E306" s="11" t="inlineStr">
        <is>
          <t>עמלות סליקה</t>
        </is>
      </c>
      <c r="F306" s="12" t="n">
        <v>3101</v>
      </c>
    </row>
    <row r="307">
      <c r="A307" s="11" t="inlineStr">
        <is>
          <t>אוגוסט</t>
        </is>
      </c>
      <c r="B307" s="11" t="n">
        <v>8</v>
      </c>
      <c r="C307" s="11" t="inlineStr">
        <is>
          <t>שירות ותמיכה</t>
        </is>
      </c>
      <c r="D307" s="11" t="inlineStr">
        <is>
          <t>הוצאות תפעול</t>
        </is>
      </c>
      <c r="E307" s="11" t="inlineStr">
        <is>
          <t>עמלות סליקה</t>
        </is>
      </c>
      <c r="F307" s="12" t="n">
        <v>1550</v>
      </c>
    </row>
    <row r="308">
      <c r="A308" s="11" t="inlineStr">
        <is>
          <t>אוגוסט</t>
        </is>
      </c>
      <c r="B308" s="11" t="n">
        <v>8</v>
      </c>
      <c r="C308" s="11" t="inlineStr">
        <is>
          <t>מכירות ישירות</t>
        </is>
      </c>
      <c r="D308" s="11" t="inlineStr">
        <is>
          <t>הוצאות תפעול</t>
        </is>
      </c>
      <c r="E308" s="11" t="inlineStr">
        <is>
          <t>ייעוץ מקצועי</t>
        </is>
      </c>
      <c r="F308" s="12" t="n">
        <v>4413</v>
      </c>
    </row>
    <row r="309">
      <c r="A309" s="11" t="inlineStr">
        <is>
          <t>אוגוסט</t>
        </is>
      </c>
      <c r="B309" s="11" t="n">
        <v>8</v>
      </c>
      <c r="C309" s="11" t="inlineStr">
        <is>
          <t>ערוץ מפיצים</t>
        </is>
      </c>
      <c r="D309" s="11" t="inlineStr">
        <is>
          <t>הוצאות תפעול</t>
        </is>
      </c>
      <c r="E309" s="11" t="inlineStr">
        <is>
          <t>ייעוץ מקצועי</t>
        </is>
      </c>
      <c r="F309" s="12" t="n">
        <v>2407</v>
      </c>
    </row>
    <row r="310">
      <c r="A310" s="11" t="inlineStr">
        <is>
          <t>אוגוסט</t>
        </is>
      </c>
      <c r="B310" s="11" t="n">
        <v>8</v>
      </c>
      <c r="C310" s="11" t="inlineStr">
        <is>
          <t>שירות ותמיכה</t>
        </is>
      </c>
      <c r="D310" s="11" t="inlineStr">
        <is>
          <t>הוצאות תפעול</t>
        </is>
      </c>
      <c r="E310" s="11" t="inlineStr">
        <is>
          <t>ייעוץ מקצועי</t>
        </is>
      </c>
      <c r="F310" s="12" t="n">
        <v>1204</v>
      </c>
    </row>
    <row r="311">
      <c r="A311" s="11" t="inlineStr">
        <is>
          <t>אוגוסט</t>
        </is>
      </c>
      <c r="B311" s="11" t="n">
        <v>8</v>
      </c>
      <c r="C311" s="11" t="inlineStr">
        <is>
          <t>מכירות ישירות</t>
        </is>
      </c>
      <c r="D311" s="11" t="inlineStr">
        <is>
          <t>הוצאות תפעול</t>
        </is>
      </c>
      <c r="E311" s="11" t="inlineStr">
        <is>
          <t>פחת</t>
        </is>
      </c>
      <c r="F311" s="12" t="n">
        <v>4162</v>
      </c>
    </row>
    <row r="312">
      <c r="A312" s="11" t="inlineStr">
        <is>
          <t>אוגוסט</t>
        </is>
      </c>
      <c r="B312" s="11" t="n">
        <v>8</v>
      </c>
      <c r="C312" s="11" t="inlineStr">
        <is>
          <t>ערוץ מפיצים</t>
        </is>
      </c>
      <c r="D312" s="11" t="inlineStr">
        <is>
          <t>הוצאות תפעול</t>
        </is>
      </c>
      <c r="E312" s="11" t="inlineStr">
        <is>
          <t>פחת</t>
        </is>
      </c>
      <c r="F312" s="12" t="n">
        <v>4039</v>
      </c>
    </row>
    <row r="313">
      <c r="A313" s="11" t="inlineStr">
        <is>
          <t>אוגוסט</t>
        </is>
      </c>
      <c r="B313" s="11" t="n">
        <v>8</v>
      </c>
      <c r="C313" s="11" t="inlineStr">
        <is>
          <t>שירות ותמיכה</t>
        </is>
      </c>
      <c r="D313" s="11" t="inlineStr">
        <is>
          <t>הוצאות תפעול</t>
        </is>
      </c>
      <c r="E313" s="11" t="inlineStr">
        <is>
          <t>פחת</t>
        </is>
      </c>
      <c r="F313" s="12" t="n">
        <v>4039</v>
      </c>
    </row>
    <row r="314">
      <c r="A314" s="11" t="inlineStr">
        <is>
          <t>אוגוסט</t>
        </is>
      </c>
      <c r="B314" s="11" t="n">
        <v>8</v>
      </c>
      <c r="C314" s="11" t="inlineStr">
        <is>
          <t>מכירות ישירות</t>
        </is>
      </c>
      <c r="D314" s="11" t="inlineStr">
        <is>
          <t>הוצאות תפעול</t>
        </is>
      </c>
      <c r="E314" s="11" t="inlineStr">
        <is>
          <t>הוצאות מימון</t>
        </is>
      </c>
      <c r="F314" s="12" t="n">
        <v>2220</v>
      </c>
    </row>
    <row r="315">
      <c r="A315" s="11" t="inlineStr">
        <is>
          <t>אוגוסט</t>
        </is>
      </c>
      <c r="B315" s="11" t="n">
        <v>8</v>
      </c>
      <c r="C315" s="11" t="inlineStr">
        <is>
          <t>ערוץ מפיצים</t>
        </is>
      </c>
      <c r="D315" s="11" t="inlineStr">
        <is>
          <t>הוצאות תפעול</t>
        </is>
      </c>
      <c r="E315" s="11" t="inlineStr">
        <is>
          <t>הוצאות מימון</t>
        </is>
      </c>
      <c r="F315" s="12" t="n">
        <v>2154</v>
      </c>
    </row>
    <row r="316">
      <c r="A316" s="11" t="inlineStr">
        <is>
          <t>אוגוסט</t>
        </is>
      </c>
      <c r="B316" s="11" t="n">
        <v>8</v>
      </c>
      <c r="C316" s="11" t="inlineStr">
        <is>
          <t>שירות ותמיכה</t>
        </is>
      </c>
      <c r="D316" s="11" t="inlineStr">
        <is>
          <t>הוצאות תפעול</t>
        </is>
      </c>
      <c r="E316" s="11" t="inlineStr">
        <is>
          <t>הוצאות מימון</t>
        </is>
      </c>
      <c r="F316" s="12" t="n">
        <v>2154</v>
      </c>
    </row>
    <row r="317">
      <c r="A317" s="11" t="inlineStr">
        <is>
          <t>ספטמבר</t>
        </is>
      </c>
      <c r="B317" s="11" t="n">
        <v>9</v>
      </c>
      <c r="C317" s="11" t="inlineStr">
        <is>
          <t>מכירות ישירות</t>
        </is>
      </c>
      <c r="D317" s="11" t="inlineStr">
        <is>
          <t>הכנסות</t>
        </is>
      </c>
      <c r="E317" s="11" t="inlineStr">
        <is>
          <t>הכנסות ממכירות</t>
        </is>
      </c>
      <c r="F317" s="12" t="n">
        <v>627440</v>
      </c>
    </row>
    <row r="318">
      <c r="A318" s="11" t="inlineStr">
        <is>
          <t>ספטמבר</t>
        </is>
      </c>
      <c r="B318" s="11" t="n">
        <v>9</v>
      </c>
      <c r="C318" s="11" t="inlineStr">
        <is>
          <t>ערוץ מפיצים</t>
        </is>
      </c>
      <c r="D318" s="11" t="inlineStr">
        <is>
          <t>הכנסות</t>
        </is>
      </c>
      <c r="E318" s="11" t="inlineStr">
        <is>
          <t>הכנסות ממכירות</t>
        </is>
      </c>
      <c r="F318" s="12" t="n">
        <v>342240</v>
      </c>
    </row>
    <row r="319">
      <c r="A319" s="11" t="inlineStr">
        <is>
          <t>ספטמבר</t>
        </is>
      </c>
      <c r="B319" s="11" t="n">
        <v>9</v>
      </c>
      <c r="C319" s="11" t="inlineStr">
        <is>
          <t>שירות ותמיכה</t>
        </is>
      </c>
      <c r="D319" s="11" t="inlineStr">
        <is>
          <t>הכנסות</t>
        </is>
      </c>
      <c r="E319" s="11" t="inlineStr">
        <is>
          <t>הכנסות ממכירות</t>
        </is>
      </c>
      <c r="F319" s="12" t="n">
        <v>171120</v>
      </c>
    </row>
    <row r="320">
      <c r="A320" s="11" t="inlineStr">
        <is>
          <t>ספטמבר</t>
        </is>
      </c>
      <c r="B320" s="11" t="n">
        <v>9</v>
      </c>
      <c r="C320" s="11" t="inlineStr">
        <is>
          <t>מכירות ישירות</t>
        </is>
      </c>
      <c r="D320" s="11" t="inlineStr">
        <is>
          <t>הכנסות</t>
        </is>
      </c>
      <c r="E320" s="11" t="inlineStr">
        <is>
          <t>הכנסות משירות</t>
        </is>
      </c>
      <c r="F320" s="12" t="n">
        <v>5290</v>
      </c>
    </row>
    <row r="321">
      <c r="A321" s="11" t="inlineStr">
        <is>
          <t>ספטמבר</t>
        </is>
      </c>
      <c r="B321" s="11" t="n">
        <v>9</v>
      </c>
      <c r="C321" s="11" t="inlineStr">
        <is>
          <t>ערוץ מפיצים</t>
        </is>
      </c>
      <c r="D321" s="11" t="inlineStr">
        <is>
          <t>הכנסות</t>
        </is>
      </c>
      <c r="E321" s="11" t="inlineStr">
        <is>
          <t>הכנסות משירות</t>
        </is>
      </c>
      <c r="F321" s="12" t="n">
        <v>5290</v>
      </c>
    </row>
    <row r="322">
      <c r="A322" s="11" t="inlineStr">
        <is>
          <t>ספטמבר</t>
        </is>
      </c>
      <c r="B322" s="11" t="n">
        <v>9</v>
      </c>
      <c r="C322" s="11" t="inlineStr">
        <is>
          <t>שירות ותמיכה</t>
        </is>
      </c>
      <c r="D322" s="11" t="inlineStr">
        <is>
          <t>הכנסות</t>
        </is>
      </c>
      <c r="E322" s="11" t="inlineStr">
        <is>
          <t>הכנסות משירות</t>
        </is>
      </c>
      <c r="F322" s="12" t="n">
        <v>95220</v>
      </c>
    </row>
    <row r="323">
      <c r="A323" s="11" t="inlineStr">
        <is>
          <t>ספטמבר</t>
        </is>
      </c>
      <c r="B323" s="11" t="n">
        <v>9</v>
      </c>
      <c r="C323" s="11" t="inlineStr">
        <is>
          <t>מכירות ישירות</t>
        </is>
      </c>
      <c r="D323" s="11" t="inlineStr">
        <is>
          <t>עלות המכר</t>
        </is>
      </c>
      <c r="E323" s="11" t="inlineStr">
        <is>
          <t>עלות המכר</t>
        </is>
      </c>
      <c r="F323" s="12" t="n">
        <v>407836</v>
      </c>
    </row>
    <row r="324">
      <c r="A324" s="11" t="inlineStr">
        <is>
          <t>ספטמבר</t>
        </is>
      </c>
      <c r="B324" s="11" t="n">
        <v>9</v>
      </c>
      <c r="C324" s="11" t="inlineStr">
        <is>
          <t>ערוץ מפיצים</t>
        </is>
      </c>
      <c r="D324" s="11" t="inlineStr">
        <is>
          <t>עלות המכר</t>
        </is>
      </c>
      <c r="E324" s="11" t="inlineStr">
        <is>
          <t>עלות המכר</t>
        </is>
      </c>
      <c r="F324" s="12" t="n">
        <v>222456</v>
      </c>
    </row>
    <row r="325">
      <c r="A325" s="11" t="inlineStr">
        <is>
          <t>ספטמבר</t>
        </is>
      </c>
      <c r="B325" s="11" t="n">
        <v>9</v>
      </c>
      <c r="C325" s="11" t="inlineStr">
        <is>
          <t>שירות ותמיכה</t>
        </is>
      </c>
      <c r="D325" s="11" t="inlineStr">
        <is>
          <t>עלות המכר</t>
        </is>
      </c>
      <c r="E325" s="11" t="inlineStr">
        <is>
          <t>עלות המכר</t>
        </is>
      </c>
      <c r="F325" s="12" t="n">
        <v>111228</v>
      </c>
    </row>
    <row r="326">
      <c r="A326" s="11" t="inlineStr">
        <is>
          <t>ספטמבר</t>
        </is>
      </c>
      <c r="B326" s="11" t="n">
        <v>9</v>
      </c>
      <c r="C326" s="11" t="inlineStr">
        <is>
          <t>מכירות ישירות</t>
        </is>
      </c>
      <c r="D326" s="11" t="inlineStr">
        <is>
          <t>הוצאות תפעול</t>
        </is>
      </c>
      <c r="E326" s="11" t="inlineStr">
        <is>
          <t>שכר ונלוות</t>
        </is>
      </c>
      <c r="F326" s="12" t="n">
        <v>103730</v>
      </c>
    </row>
    <row r="327">
      <c r="A327" s="11" t="inlineStr">
        <is>
          <t>ספטמבר</t>
        </is>
      </c>
      <c r="B327" s="11" t="n">
        <v>9</v>
      </c>
      <c r="C327" s="11" t="inlineStr">
        <is>
          <t>ערוץ מפיצים</t>
        </is>
      </c>
      <c r="D327" s="11" t="inlineStr">
        <is>
          <t>הוצאות תפעול</t>
        </is>
      </c>
      <c r="E327" s="11" t="inlineStr">
        <is>
          <t>שכר ונלוות</t>
        </is>
      </c>
      <c r="F327" s="12" t="n">
        <v>56580</v>
      </c>
    </row>
    <row r="328">
      <c r="A328" s="11" t="inlineStr">
        <is>
          <t>ספטמבר</t>
        </is>
      </c>
      <c r="B328" s="11" t="n">
        <v>9</v>
      </c>
      <c r="C328" s="11" t="inlineStr">
        <is>
          <t>שירות ותמיכה</t>
        </is>
      </c>
      <c r="D328" s="11" t="inlineStr">
        <is>
          <t>הוצאות תפעול</t>
        </is>
      </c>
      <c r="E328" s="11" t="inlineStr">
        <is>
          <t>שכר ונלוות</t>
        </is>
      </c>
      <c r="F328" s="12" t="n">
        <v>28290</v>
      </c>
    </row>
    <row r="329">
      <c r="A329" s="11" t="inlineStr">
        <is>
          <t>ספטמבר</t>
        </is>
      </c>
      <c r="B329" s="11" t="n">
        <v>9</v>
      </c>
      <c r="C329" s="11" t="inlineStr">
        <is>
          <t>מכירות ישירות</t>
        </is>
      </c>
      <c r="D329" s="11" t="inlineStr">
        <is>
          <t>הוצאות תפעול</t>
        </is>
      </c>
      <c r="E329" s="11" t="inlineStr">
        <is>
          <t>שכר דירה ואחזקה</t>
        </is>
      </c>
      <c r="F329" s="12" t="n">
        <v>12387</v>
      </c>
    </row>
    <row r="330">
      <c r="A330" s="11" t="inlineStr">
        <is>
          <t>ספטמבר</t>
        </is>
      </c>
      <c r="B330" s="11" t="n">
        <v>9</v>
      </c>
      <c r="C330" s="11" t="inlineStr">
        <is>
          <t>ערוץ מפיצים</t>
        </is>
      </c>
      <c r="D330" s="11" t="inlineStr">
        <is>
          <t>הוצאות תפעול</t>
        </is>
      </c>
      <c r="E330" s="11" t="inlineStr">
        <is>
          <t>שכר דירה ואחזקה</t>
        </is>
      </c>
      <c r="F330" s="12" t="n">
        <v>12023</v>
      </c>
    </row>
    <row r="331">
      <c r="A331" s="11" t="inlineStr">
        <is>
          <t>ספטמבר</t>
        </is>
      </c>
      <c r="B331" s="11" t="n">
        <v>9</v>
      </c>
      <c r="C331" s="11" t="inlineStr">
        <is>
          <t>שירות ותמיכה</t>
        </is>
      </c>
      <c r="D331" s="11" t="inlineStr">
        <is>
          <t>הוצאות תפעול</t>
        </is>
      </c>
      <c r="E331" s="11" t="inlineStr">
        <is>
          <t>שכר דירה ואחזקה</t>
        </is>
      </c>
      <c r="F331" s="12" t="n">
        <v>12023</v>
      </c>
    </row>
    <row r="332">
      <c r="A332" s="11" t="inlineStr">
        <is>
          <t>ספטמבר</t>
        </is>
      </c>
      <c r="B332" s="11" t="n">
        <v>9</v>
      </c>
      <c r="C332" s="11" t="inlineStr">
        <is>
          <t>מכירות ישירות</t>
        </is>
      </c>
      <c r="D332" s="11" t="inlineStr">
        <is>
          <t>הוצאות תפעול</t>
        </is>
      </c>
      <c r="E332" s="11" t="inlineStr">
        <is>
          <t>הוצאות רכב</t>
        </is>
      </c>
      <c r="F332" s="12" t="n">
        <v>10828</v>
      </c>
    </row>
    <row r="333">
      <c r="A333" s="11" t="inlineStr">
        <is>
          <t>ספטמבר</t>
        </is>
      </c>
      <c r="B333" s="11" t="n">
        <v>9</v>
      </c>
      <c r="C333" s="11" t="inlineStr">
        <is>
          <t>ערוץ מפיצים</t>
        </is>
      </c>
      <c r="D333" s="11" t="inlineStr">
        <is>
          <t>הוצאות תפעול</t>
        </is>
      </c>
      <c r="E333" s="11" t="inlineStr">
        <is>
          <t>הוצאות רכב</t>
        </is>
      </c>
      <c r="F333" s="12" t="n">
        <v>5906</v>
      </c>
    </row>
    <row r="334">
      <c r="A334" s="11" t="inlineStr">
        <is>
          <t>ספטמבר</t>
        </is>
      </c>
      <c r="B334" s="11" t="n">
        <v>9</v>
      </c>
      <c r="C334" s="11" t="inlineStr">
        <is>
          <t>שירות ותמיכה</t>
        </is>
      </c>
      <c r="D334" s="11" t="inlineStr">
        <is>
          <t>הוצאות תפעול</t>
        </is>
      </c>
      <c r="E334" s="11" t="inlineStr">
        <is>
          <t>הוצאות רכב</t>
        </is>
      </c>
      <c r="F334" s="12" t="n">
        <v>2953</v>
      </c>
    </row>
    <row r="335">
      <c r="A335" s="11" t="inlineStr">
        <is>
          <t>ספטמבר</t>
        </is>
      </c>
      <c r="B335" s="11" t="n">
        <v>9</v>
      </c>
      <c r="C335" s="11" t="inlineStr">
        <is>
          <t>מכירות ישירות</t>
        </is>
      </c>
      <c r="D335" s="11" t="inlineStr">
        <is>
          <t>הוצאות תפעול</t>
        </is>
      </c>
      <c r="E335" s="11" t="inlineStr">
        <is>
          <t>פרסום ושיווק</t>
        </is>
      </c>
      <c r="F335" s="12" t="n">
        <v>16698</v>
      </c>
    </row>
    <row r="336">
      <c r="A336" s="11" t="inlineStr">
        <is>
          <t>ספטמבר</t>
        </is>
      </c>
      <c r="B336" s="11" t="n">
        <v>9</v>
      </c>
      <c r="C336" s="11" t="inlineStr">
        <is>
          <t>ערוץ מפיצים</t>
        </is>
      </c>
      <c r="D336" s="11" t="inlineStr">
        <is>
          <t>הוצאות תפעול</t>
        </is>
      </c>
      <c r="E336" s="11" t="inlineStr">
        <is>
          <t>פרסום ושיווק</t>
        </is>
      </c>
      <c r="F336" s="12" t="n">
        <v>9108</v>
      </c>
    </row>
    <row r="337">
      <c r="A337" s="11" t="inlineStr">
        <is>
          <t>ספטמבר</t>
        </is>
      </c>
      <c r="B337" s="11" t="n">
        <v>9</v>
      </c>
      <c r="C337" s="11" t="inlineStr">
        <is>
          <t>שירות ותמיכה</t>
        </is>
      </c>
      <c r="D337" s="11" t="inlineStr">
        <is>
          <t>הוצאות תפעול</t>
        </is>
      </c>
      <c r="E337" s="11" t="inlineStr">
        <is>
          <t>פרסום ושיווק</t>
        </is>
      </c>
      <c r="F337" s="12" t="n">
        <v>4554</v>
      </c>
    </row>
    <row r="338">
      <c r="A338" s="11" t="inlineStr">
        <is>
          <t>ספטמבר</t>
        </is>
      </c>
      <c r="B338" s="11" t="n">
        <v>9</v>
      </c>
      <c r="C338" s="11" t="inlineStr">
        <is>
          <t>מכירות ישירות</t>
        </is>
      </c>
      <c r="D338" s="11" t="inlineStr">
        <is>
          <t>הוצאות תפעול</t>
        </is>
      </c>
      <c r="E338" s="11" t="inlineStr">
        <is>
          <t>כיבודים ואירוח</t>
        </is>
      </c>
      <c r="F338" s="12" t="n">
        <v>2429</v>
      </c>
    </row>
    <row r="339">
      <c r="A339" s="11" t="inlineStr">
        <is>
          <t>ספטמבר</t>
        </is>
      </c>
      <c r="B339" s="11" t="n">
        <v>9</v>
      </c>
      <c r="C339" s="11" t="inlineStr">
        <is>
          <t>ערוץ מפיצים</t>
        </is>
      </c>
      <c r="D339" s="11" t="inlineStr">
        <is>
          <t>הוצאות תפעול</t>
        </is>
      </c>
      <c r="E339" s="11" t="inlineStr">
        <is>
          <t>כיבודים ואירוח</t>
        </is>
      </c>
      <c r="F339" s="12" t="n">
        <v>1325</v>
      </c>
    </row>
    <row r="340">
      <c r="A340" s="11" t="inlineStr">
        <is>
          <t>ספטמבר</t>
        </is>
      </c>
      <c r="B340" s="11" t="n">
        <v>9</v>
      </c>
      <c r="C340" s="11" t="inlineStr">
        <is>
          <t>שירות ותמיכה</t>
        </is>
      </c>
      <c r="D340" s="11" t="inlineStr">
        <is>
          <t>הוצאות תפעול</t>
        </is>
      </c>
      <c r="E340" s="11" t="inlineStr">
        <is>
          <t>כיבודים ואירוח</t>
        </is>
      </c>
      <c r="F340" s="12" t="n">
        <v>662</v>
      </c>
    </row>
    <row r="341">
      <c r="A341" s="11" t="inlineStr">
        <is>
          <t>ספטמבר</t>
        </is>
      </c>
      <c r="B341" s="11" t="n">
        <v>9</v>
      </c>
      <c r="C341" s="11" t="inlineStr">
        <is>
          <t>מכירות ישירות</t>
        </is>
      </c>
      <c r="D341" s="11" t="inlineStr">
        <is>
          <t>הוצאות תפעול</t>
        </is>
      </c>
      <c r="E341" s="11" t="inlineStr">
        <is>
          <t>הוצאות משרד</t>
        </is>
      </c>
      <c r="F341" s="12" t="n">
        <v>6376</v>
      </c>
    </row>
    <row r="342">
      <c r="A342" s="11" t="inlineStr">
        <is>
          <t>ספטמבר</t>
        </is>
      </c>
      <c r="B342" s="11" t="n">
        <v>9</v>
      </c>
      <c r="C342" s="11" t="inlineStr">
        <is>
          <t>ערוץ מפיצים</t>
        </is>
      </c>
      <c r="D342" s="11" t="inlineStr">
        <is>
          <t>הוצאות תפעול</t>
        </is>
      </c>
      <c r="E342" s="11" t="inlineStr">
        <is>
          <t>הוצאות משרד</t>
        </is>
      </c>
      <c r="F342" s="12" t="n">
        <v>3478</v>
      </c>
    </row>
    <row r="343">
      <c r="A343" s="11" t="inlineStr">
        <is>
          <t>ספטמבר</t>
        </is>
      </c>
      <c r="B343" s="11" t="n">
        <v>9</v>
      </c>
      <c r="C343" s="11" t="inlineStr">
        <is>
          <t>שירות ותמיכה</t>
        </is>
      </c>
      <c r="D343" s="11" t="inlineStr">
        <is>
          <t>הוצאות תפעול</t>
        </is>
      </c>
      <c r="E343" s="11" t="inlineStr">
        <is>
          <t>הוצאות משרד</t>
        </is>
      </c>
      <c r="F343" s="12" t="n">
        <v>1739</v>
      </c>
    </row>
    <row r="344">
      <c r="A344" s="11" t="inlineStr">
        <is>
          <t>ספטמבר</t>
        </is>
      </c>
      <c r="B344" s="11" t="n">
        <v>9</v>
      </c>
      <c r="C344" s="11" t="inlineStr">
        <is>
          <t>מכירות ישירות</t>
        </is>
      </c>
      <c r="D344" s="11" t="inlineStr">
        <is>
          <t>הוצאות תפעול</t>
        </is>
      </c>
      <c r="E344" s="11" t="inlineStr">
        <is>
          <t>עמלות סליקה</t>
        </is>
      </c>
      <c r="F344" s="12" t="n">
        <v>7691</v>
      </c>
    </row>
    <row r="345">
      <c r="A345" s="11" t="inlineStr">
        <is>
          <t>ספטמבר</t>
        </is>
      </c>
      <c r="B345" s="11" t="n">
        <v>9</v>
      </c>
      <c r="C345" s="11" t="inlineStr">
        <is>
          <t>ערוץ מפיצים</t>
        </is>
      </c>
      <c r="D345" s="11" t="inlineStr">
        <is>
          <t>הוצאות תפעול</t>
        </is>
      </c>
      <c r="E345" s="11" t="inlineStr">
        <is>
          <t>עמלות סליקה</t>
        </is>
      </c>
      <c r="F345" s="12" t="n">
        <v>4195</v>
      </c>
    </row>
    <row r="346">
      <c r="A346" s="11" t="inlineStr">
        <is>
          <t>ספטמבר</t>
        </is>
      </c>
      <c r="B346" s="11" t="n">
        <v>9</v>
      </c>
      <c r="C346" s="11" t="inlineStr">
        <is>
          <t>שירות ותמיכה</t>
        </is>
      </c>
      <c r="D346" s="11" t="inlineStr">
        <is>
          <t>הוצאות תפעול</t>
        </is>
      </c>
      <c r="E346" s="11" t="inlineStr">
        <is>
          <t>עמלות סליקה</t>
        </is>
      </c>
      <c r="F346" s="12" t="n">
        <v>2098</v>
      </c>
    </row>
    <row r="347">
      <c r="A347" s="11" t="inlineStr">
        <is>
          <t>ספטמבר</t>
        </is>
      </c>
      <c r="B347" s="11" t="n">
        <v>9</v>
      </c>
      <c r="C347" s="11" t="inlineStr">
        <is>
          <t>מכירות ישירות</t>
        </is>
      </c>
      <c r="D347" s="11" t="inlineStr">
        <is>
          <t>הוצאות תפעול</t>
        </is>
      </c>
      <c r="E347" s="11" t="inlineStr">
        <is>
          <t>ייעוץ מקצועי</t>
        </is>
      </c>
      <c r="F347" s="12" t="n">
        <v>5971</v>
      </c>
    </row>
    <row r="348">
      <c r="A348" s="11" t="inlineStr">
        <is>
          <t>ספטמבר</t>
        </is>
      </c>
      <c r="B348" s="11" t="n">
        <v>9</v>
      </c>
      <c r="C348" s="11" t="inlineStr">
        <is>
          <t>ערוץ מפיצים</t>
        </is>
      </c>
      <c r="D348" s="11" t="inlineStr">
        <is>
          <t>הוצאות תפעול</t>
        </is>
      </c>
      <c r="E348" s="11" t="inlineStr">
        <is>
          <t>ייעוץ מקצועי</t>
        </is>
      </c>
      <c r="F348" s="12" t="n">
        <v>3257</v>
      </c>
    </row>
    <row r="349">
      <c r="A349" s="11" t="inlineStr">
        <is>
          <t>ספטמבר</t>
        </is>
      </c>
      <c r="B349" s="11" t="n">
        <v>9</v>
      </c>
      <c r="C349" s="11" t="inlineStr">
        <is>
          <t>שירות ותמיכה</t>
        </is>
      </c>
      <c r="D349" s="11" t="inlineStr">
        <is>
          <t>הוצאות תפעול</t>
        </is>
      </c>
      <c r="E349" s="11" t="inlineStr">
        <is>
          <t>ייעוץ מקצועי</t>
        </is>
      </c>
      <c r="F349" s="12" t="n">
        <v>1628</v>
      </c>
    </row>
    <row r="350">
      <c r="A350" s="11" t="inlineStr">
        <is>
          <t>ספטמבר</t>
        </is>
      </c>
      <c r="B350" s="11" t="n">
        <v>9</v>
      </c>
      <c r="C350" s="11" t="inlineStr">
        <is>
          <t>מכירות ישירות</t>
        </is>
      </c>
      <c r="D350" s="11" t="inlineStr">
        <is>
          <t>הוצאות תפעול</t>
        </is>
      </c>
      <c r="E350" s="11" t="inlineStr">
        <is>
          <t>פחת</t>
        </is>
      </c>
      <c r="F350" s="12" t="n">
        <v>5630</v>
      </c>
    </row>
    <row r="351">
      <c r="A351" s="11" t="inlineStr">
        <is>
          <t>ספטמבר</t>
        </is>
      </c>
      <c r="B351" s="11" t="n">
        <v>9</v>
      </c>
      <c r="C351" s="11" t="inlineStr">
        <is>
          <t>ערוץ מפיצים</t>
        </is>
      </c>
      <c r="D351" s="11" t="inlineStr">
        <is>
          <t>הוצאות תפעול</t>
        </is>
      </c>
      <c r="E351" s="11" t="inlineStr">
        <is>
          <t>פחת</t>
        </is>
      </c>
      <c r="F351" s="12" t="n">
        <v>5465</v>
      </c>
    </row>
    <row r="352">
      <c r="A352" s="11" t="inlineStr">
        <is>
          <t>ספטמבר</t>
        </is>
      </c>
      <c r="B352" s="11" t="n">
        <v>9</v>
      </c>
      <c r="C352" s="11" t="inlineStr">
        <is>
          <t>שירות ותמיכה</t>
        </is>
      </c>
      <c r="D352" s="11" t="inlineStr">
        <is>
          <t>הוצאות תפעול</t>
        </is>
      </c>
      <c r="E352" s="11" t="inlineStr">
        <is>
          <t>פחת</t>
        </is>
      </c>
      <c r="F352" s="12" t="n">
        <v>5465</v>
      </c>
    </row>
    <row r="353">
      <c r="A353" s="11" t="inlineStr">
        <is>
          <t>ספטמבר</t>
        </is>
      </c>
      <c r="B353" s="11" t="n">
        <v>9</v>
      </c>
      <c r="C353" s="11" t="inlineStr">
        <is>
          <t>מכירות ישירות</t>
        </is>
      </c>
      <c r="D353" s="11" t="inlineStr">
        <is>
          <t>הוצאות תפעול</t>
        </is>
      </c>
      <c r="E353" s="11" t="inlineStr">
        <is>
          <t>הוצאות מימון</t>
        </is>
      </c>
      <c r="F353" s="12" t="n">
        <v>3003</v>
      </c>
    </row>
    <row r="354">
      <c r="A354" s="11" t="inlineStr">
        <is>
          <t>ספטמבר</t>
        </is>
      </c>
      <c r="B354" s="11" t="n">
        <v>9</v>
      </c>
      <c r="C354" s="11" t="inlineStr">
        <is>
          <t>ערוץ מפיצים</t>
        </is>
      </c>
      <c r="D354" s="11" t="inlineStr">
        <is>
          <t>הוצאות תפעול</t>
        </is>
      </c>
      <c r="E354" s="11" t="inlineStr">
        <is>
          <t>הוצאות מימון</t>
        </is>
      </c>
      <c r="F354" s="12" t="n">
        <v>2915</v>
      </c>
    </row>
    <row r="355">
      <c r="A355" s="11" t="inlineStr">
        <is>
          <t>ספטמבר</t>
        </is>
      </c>
      <c r="B355" s="11" t="n">
        <v>9</v>
      </c>
      <c r="C355" s="11" t="inlineStr">
        <is>
          <t>שירות ותמיכה</t>
        </is>
      </c>
      <c r="D355" s="11" t="inlineStr">
        <is>
          <t>הוצאות תפעול</t>
        </is>
      </c>
      <c r="E355" s="11" t="inlineStr">
        <is>
          <t>הוצאות מימון</t>
        </is>
      </c>
      <c r="F355" s="12" t="n">
        <v>2915</v>
      </c>
    </row>
    <row r="356">
      <c r="A356" s="11" t="inlineStr">
        <is>
          <t>אוקטובר</t>
        </is>
      </c>
      <c r="B356" s="11" t="n">
        <v>10</v>
      </c>
      <c r="C356" s="11" t="inlineStr">
        <is>
          <t>מכירות ישירות</t>
        </is>
      </c>
      <c r="D356" s="11" t="inlineStr">
        <is>
          <t>הכנסות</t>
        </is>
      </c>
      <c r="E356" s="11" t="inlineStr">
        <is>
          <t>הכנסות ממכירות</t>
        </is>
      </c>
      <c r="F356" s="12" t="n">
        <v>647900</v>
      </c>
    </row>
    <row r="357">
      <c r="A357" s="11" t="inlineStr">
        <is>
          <t>אוקטובר</t>
        </is>
      </c>
      <c r="B357" s="11" t="n">
        <v>10</v>
      </c>
      <c r="C357" s="11" t="inlineStr">
        <is>
          <t>ערוץ מפיצים</t>
        </is>
      </c>
      <c r="D357" s="11" t="inlineStr">
        <is>
          <t>הכנסות</t>
        </is>
      </c>
      <c r="E357" s="11" t="inlineStr">
        <is>
          <t>הכנסות ממכירות</t>
        </is>
      </c>
      <c r="F357" s="12" t="n">
        <v>353400</v>
      </c>
    </row>
    <row r="358">
      <c r="A358" s="11" t="inlineStr">
        <is>
          <t>אוקטובר</t>
        </is>
      </c>
      <c r="B358" s="11" t="n">
        <v>10</v>
      </c>
      <c r="C358" s="11" t="inlineStr">
        <is>
          <t>שירות ותמיכה</t>
        </is>
      </c>
      <c r="D358" s="11" t="inlineStr">
        <is>
          <t>הכנסות</t>
        </is>
      </c>
      <c r="E358" s="11" t="inlineStr">
        <is>
          <t>הכנסות ממכירות</t>
        </is>
      </c>
      <c r="F358" s="12" t="n">
        <v>176700</v>
      </c>
    </row>
    <row r="359">
      <c r="A359" s="11" t="inlineStr">
        <is>
          <t>אוקטובר</t>
        </is>
      </c>
      <c r="B359" s="11" t="n">
        <v>10</v>
      </c>
      <c r="C359" s="11" t="inlineStr">
        <is>
          <t>מכירות ישירות</t>
        </is>
      </c>
      <c r="D359" s="11" t="inlineStr">
        <is>
          <t>הכנסות</t>
        </is>
      </c>
      <c r="E359" s="11" t="inlineStr">
        <is>
          <t>הכנסות משירות</t>
        </is>
      </c>
      <c r="F359" s="12" t="n">
        <v>5462</v>
      </c>
    </row>
    <row r="360">
      <c r="A360" s="11" t="inlineStr">
        <is>
          <t>אוקטובר</t>
        </is>
      </c>
      <c r="B360" s="11" t="n">
        <v>10</v>
      </c>
      <c r="C360" s="11" t="inlineStr">
        <is>
          <t>ערוץ מפיצים</t>
        </is>
      </c>
      <c r="D360" s="11" t="inlineStr">
        <is>
          <t>הכנסות</t>
        </is>
      </c>
      <c r="E360" s="11" t="inlineStr">
        <is>
          <t>הכנסות משירות</t>
        </is>
      </c>
      <c r="F360" s="12" t="n">
        <v>5462</v>
      </c>
    </row>
    <row r="361">
      <c r="A361" s="11" t="inlineStr">
        <is>
          <t>אוקטובר</t>
        </is>
      </c>
      <c r="B361" s="11" t="n">
        <v>10</v>
      </c>
      <c r="C361" s="11" t="inlineStr">
        <is>
          <t>שירות ותמיכה</t>
        </is>
      </c>
      <c r="D361" s="11" t="inlineStr">
        <is>
          <t>הכנסות</t>
        </is>
      </c>
      <c r="E361" s="11" t="inlineStr">
        <is>
          <t>הכנסות משירות</t>
        </is>
      </c>
      <c r="F361" s="12" t="n">
        <v>98325</v>
      </c>
    </row>
    <row r="362">
      <c r="A362" s="11" t="inlineStr">
        <is>
          <t>אוקטובר</t>
        </is>
      </c>
      <c r="B362" s="11" t="n">
        <v>10</v>
      </c>
      <c r="C362" s="11" t="inlineStr">
        <is>
          <t>מכירות ישירות</t>
        </is>
      </c>
      <c r="D362" s="11" t="inlineStr">
        <is>
          <t>עלות המכר</t>
        </is>
      </c>
      <c r="E362" s="11" t="inlineStr">
        <is>
          <t>עלות המכר</t>
        </is>
      </c>
      <c r="F362" s="12" t="n">
        <v>421135</v>
      </c>
    </row>
    <row r="363">
      <c r="A363" s="11" t="inlineStr">
        <is>
          <t>אוקטובר</t>
        </is>
      </c>
      <c r="B363" s="11" t="n">
        <v>10</v>
      </c>
      <c r="C363" s="11" t="inlineStr">
        <is>
          <t>ערוץ מפיצים</t>
        </is>
      </c>
      <c r="D363" s="11" t="inlineStr">
        <is>
          <t>עלות המכר</t>
        </is>
      </c>
      <c r="E363" s="11" t="inlineStr">
        <is>
          <t>עלות המכר</t>
        </is>
      </c>
      <c r="F363" s="12" t="n">
        <v>229710</v>
      </c>
    </row>
    <row r="364">
      <c r="A364" s="11" t="inlineStr">
        <is>
          <t>אוקטובר</t>
        </is>
      </c>
      <c r="B364" s="11" t="n">
        <v>10</v>
      </c>
      <c r="C364" s="11" t="inlineStr">
        <is>
          <t>שירות ותמיכה</t>
        </is>
      </c>
      <c r="D364" s="11" t="inlineStr">
        <is>
          <t>עלות המכר</t>
        </is>
      </c>
      <c r="E364" s="11" t="inlineStr">
        <is>
          <t>עלות המכר</t>
        </is>
      </c>
      <c r="F364" s="12" t="n">
        <v>114855</v>
      </c>
    </row>
    <row r="365">
      <c r="A365" s="11" t="inlineStr">
        <is>
          <t>אוקטובר</t>
        </is>
      </c>
      <c r="B365" s="11" t="n">
        <v>10</v>
      </c>
      <c r="C365" s="11" t="inlineStr">
        <is>
          <t>מכירות ישירות</t>
        </is>
      </c>
      <c r="D365" s="11" t="inlineStr">
        <is>
          <t>הוצאות תפעול</t>
        </is>
      </c>
      <c r="E365" s="11" t="inlineStr">
        <is>
          <t>שכר ונלוות</t>
        </is>
      </c>
      <c r="F365" s="12" t="n">
        <v>107113</v>
      </c>
    </row>
    <row r="366">
      <c r="A366" s="11" t="inlineStr">
        <is>
          <t>אוקטובר</t>
        </is>
      </c>
      <c r="B366" s="11" t="n">
        <v>10</v>
      </c>
      <c r="C366" s="11" t="inlineStr">
        <is>
          <t>ערוץ מפיצים</t>
        </is>
      </c>
      <c r="D366" s="11" t="inlineStr">
        <is>
          <t>הוצאות תפעול</t>
        </is>
      </c>
      <c r="E366" s="11" t="inlineStr">
        <is>
          <t>שכר ונלוות</t>
        </is>
      </c>
      <c r="F366" s="12" t="n">
        <v>58425</v>
      </c>
    </row>
    <row r="367">
      <c r="A367" s="11" t="inlineStr">
        <is>
          <t>אוקטובר</t>
        </is>
      </c>
      <c r="B367" s="11" t="n">
        <v>10</v>
      </c>
      <c r="C367" s="11" t="inlineStr">
        <is>
          <t>שירות ותמיכה</t>
        </is>
      </c>
      <c r="D367" s="11" t="inlineStr">
        <is>
          <t>הוצאות תפעול</t>
        </is>
      </c>
      <c r="E367" s="11" t="inlineStr">
        <is>
          <t>שכר ונלוות</t>
        </is>
      </c>
      <c r="F367" s="12" t="n">
        <v>29212</v>
      </c>
    </row>
    <row r="368">
      <c r="A368" s="11" t="inlineStr">
        <is>
          <t>אוקטובר</t>
        </is>
      </c>
      <c r="B368" s="11" t="n">
        <v>10</v>
      </c>
      <c r="C368" s="11" t="inlineStr">
        <is>
          <t>מכירות ישירות</t>
        </is>
      </c>
      <c r="D368" s="11" t="inlineStr">
        <is>
          <t>הוצאות תפעול</t>
        </is>
      </c>
      <c r="E368" s="11" t="inlineStr">
        <is>
          <t>שכר דירה ואחזקה</t>
        </is>
      </c>
      <c r="F368" s="12" t="n">
        <v>12791</v>
      </c>
    </row>
    <row r="369">
      <c r="A369" s="11" t="inlineStr">
        <is>
          <t>אוקטובר</t>
        </is>
      </c>
      <c r="B369" s="11" t="n">
        <v>10</v>
      </c>
      <c r="C369" s="11" t="inlineStr">
        <is>
          <t>ערוץ מפיצים</t>
        </is>
      </c>
      <c r="D369" s="11" t="inlineStr">
        <is>
          <t>הוצאות תפעול</t>
        </is>
      </c>
      <c r="E369" s="11" t="inlineStr">
        <is>
          <t>שכר דירה ואחזקה</t>
        </is>
      </c>
      <c r="F369" s="12" t="n">
        <v>12415</v>
      </c>
    </row>
    <row r="370">
      <c r="A370" s="11" t="inlineStr">
        <is>
          <t>אוקטובר</t>
        </is>
      </c>
      <c r="B370" s="11" t="n">
        <v>10</v>
      </c>
      <c r="C370" s="11" t="inlineStr">
        <is>
          <t>שירות ותמיכה</t>
        </is>
      </c>
      <c r="D370" s="11" t="inlineStr">
        <is>
          <t>הוצאות תפעול</t>
        </is>
      </c>
      <c r="E370" s="11" t="inlineStr">
        <is>
          <t>שכר דירה ואחזקה</t>
        </is>
      </c>
      <c r="F370" s="12" t="n">
        <v>12415</v>
      </c>
    </row>
    <row r="371">
      <c r="A371" s="11" t="inlineStr">
        <is>
          <t>אוקטובר</t>
        </is>
      </c>
      <c r="B371" s="11" t="n">
        <v>10</v>
      </c>
      <c r="C371" s="11" t="inlineStr">
        <is>
          <t>מכירות ישירות</t>
        </is>
      </c>
      <c r="D371" s="11" t="inlineStr">
        <is>
          <t>הוצאות תפעול</t>
        </is>
      </c>
      <c r="E371" s="11" t="inlineStr">
        <is>
          <t>הוצאות רכב</t>
        </is>
      </c>
      <c r="F371" s="12" t="n">
        <v>11182</v>
      </c>
    </row>
    <row r="372">
      <c r="A372" s="11" t="inlineStr">
        <is>
          <t>אוקטובר</t>
        </is>
      </c>
      <c r="B372" s="11" t="n">
        <v>10</v>
      </c>
      <c r="C372" s="11" t="inlineStr">
        <is>
          <t>ערוץ מפיצים</t>
        </is>
      </c>
      <c r="D372" s="11" t="inlineStr">
        <is>
          <t>הוצאות תפעול</t>
        </is>
      </c>
      <c r="E372" s="11" t="inlineStr">
        <is>
          <t>הוצאות רכב</t>
        </is>
      </c>
      <c r="F372" s="12" t="n">
        <v>6099</v>
      </c>
    </row>
    <row r="373">
      <c r="A373" s="11" t="inlineStr">
        <is>
          <t>אוקטובר</t>
        </is>
      </c>
      <c r="B373" s="11" t="n">
        <v>10</v>
      </c>
      <c r="C373" s="11" t="inlineStr">
        <is>
          <t>שירות ותמיכה</t>
        </is>
      </c>
      <c r="D373" s="11" t="inlineStr">
        <is>
          <t>הוצאות תפעול</t>
        </is>
      </c>
      <c r="E373" s="11" t="inlineStr">
        <is>
          <t>הוצאות רכב</t>
        </is>
      </c>
      <c r="F373" s="12" t="n">
        <v>3050</v>
      </c>
    </row>
    <row r="374">
      <c r="A374" s="11" t="inlineStr">
        <is>
          <t>אוקטובר</t>
        </is>
      </c>
      <c r="B374" s="11" t="n">
        <v>10</v>
      </c>
      <c r="C374" s="11" t="inlineStr">
        <is>
          <t>מכירות ישירות</t>
        </is>
      </c>
      <c r="D374" s="11" t="inlineStr">
        <is>
          <t>הוצאות תפעול</t>
        </is>
      </c>
      <c r="E374" s="11" t="inlineStr">
        <is>
          <t>פרסום ושיווק</t>
        </is>
      </c>
      <c r="F374" s="12" t="n">
        <v>17242</v>
      </c>
    </row>
    <row r="375">
      <c r="A375" s="11" t="inlineStr">
        <is>
          <t>אוקטובר</t>
        </is>
      </c>
      <c r="B375" s="11" t="n">
        <v>10</v>
      </c>
      <c r="C375" s="11" t="inlineStr">
        <is>
          <t>ערוץ מפיצים</t>
        </is>
      </c>
      <c r="D375" s="11" t="inlineStr">
        <is>
          <t>הוצאות תפעול</t>
        </is>
      </c>
      <c r="E375" s="11" t="inlineStr">
        <is>
          <t>פרסום ושיווק</t>
        </is>
      </c>
      <c r="F375" s="12" t="n">
        <v>9405</v>
      </c>
    </row>
    <row r="376">
      <c r="A376" s="11" t="inlineStr">
        <is>
          <t>אוקטובר</t>
        </is>
      </c>
      <c r="B376" s="11" t="n">
        <v>10</v>
      </c>
      <c r="C376" s="11" t="inlineStr">
        <is>
          <t>שירות ותמיכה</t>
        </is>
      </c>
      <c r="D376" s="11" t="inlineStr">
        <is>
          <t>הוצאות תפעול</t>
        </is>
      </c>
      <c r="E376" s="11" t="inlineStr">
        <is>
          <t>פרסום ושיווק</t>
        </is>
      </c>
      <c r="F376" s="12" t="n">
        <v>4702</v>
      </c>
    </row>
    <row r="377">
      <c r="A377" s="11" t="inlineStr">
        <is>
          <t>אוקטובר</t>
        </is>
      </c>
      <c r="B377" s="11" t="n">
        <v>10</v>
      </c>
      <c r="C377" s="11" t="inlineStr">
        <is>
          <t>מכירות ישירות</t>
        </is>
      </c>
      <c r="D377" s="11" t="inlineStr">
        <is>
          <t>הוצאות תפעול</t>
        </is>
      </c>
      <c r="E377" s="11" t="inlineStr">
        <is>
          <t>כיבודים ואירוח</t>
        </is>
      </c>
      <c r="F377" s="12" t="n">
        <v>2508</v>
      </c>
    </row>
    <row r="378">
      <c r="A378" s="11" t="inlineStr">
        <is>
          <t>אוקטובר</t>
        </is>
      </c>
      <c r="B378" s="11" t="n">
        <v>10</v>
      </c>
      <c r="C378" s="11" t="inlineStr">
        <is>
          <t>ערוץ מפיצים</t>
        </is>
      </c>
      <c r="D378" s="11" t="inlineStr">
        <is>
          <t>הוצאות תפעול</t>
        </is>
      </c>
      <c r="E378" s="11" t="inlineStr">
        <is>
          <t>כיבודים ואירוח</t>
        </is>
      </c>
      <c r="F378" s="12" t="n">
        <v>1368</v>
      </c>
    </row>
    <row r="379">
      <c r="A379" s="11" t="inlineStr">
        <is>
          <t>אוקטובר</t>
        </is>
      </c>
      <c r="B379" s="11" t="n">
        <v>10</v>
      </c>
      <c r="C379" s="11" t="inlineStr">
        <is>
          <t>שירות ותמיכה</t>
        </is>
      </c>
      <c r="D379" s="11" t="inlineStr">
        <is>
          <t>הוצאות תפעול</t>
        </is>
      </c>
      <c r="E379" s="11" t="inlineStr">
        <is>
          <t>כיבודים ואירוח</t>
        </is>
      </c>
      <c r="F379" s="12" t="n">
        <v>684</v>
      </c>
    </row>
    <row r="380">
      <c r="A380" s="11" t="inlineStr">
        <is>
          <t>אוקטובר</t>
        </is>
      </c>
      <c r="B380" s="11" t="n">
        <v>10</v>
      </c>
      <c r="C380" s="11" t="inlineStr">
        <is>
          <t>מכירות ישירות</t>
        </is>
      </c>
      <c r="D380" s="11" t="inlineStr">
        <is>
          <t>הוצאות תפעול</t>
        </is>
      </c>
      <c r="E380" s="11" t="inlineStr">
        <is>
          <t>הוצאות משרד</t>
        </is>
      </c>
      <c r="F380" s="12" t="n">
        <v>6584</v>
      </c>
    </row>
    <row r="381">
      <c r="A381" s="11" t="inlineStr">
        <is>
          <t>אוקטובר</t>
        </is>
      </c>
      <c r="B381" s="11" t="n">
        <v>10</v>
      </c>
      <c r="C381" s="11" t="inlineStr">
        <is>
          <t>ערוץ מפיצים</t>
        </is>
      </c>
      <c r="D381" s="11" t="inlineStr">
        <is>
          <t>הוצאות תפעול</t>
        </is>
      </c>
      <c r="E381" s="11" t="inlineStr">
        <is>
          <t>הוצאות משרד</t>
        </is>
      </c>
      <c r="F381" s="12" t="n">
        <v>3591</v>
      </c>
    </row>
    <row r="382">
      <c r="A382" s="11" t="inlineStr">
        <is>
          <t>אוקטובר</t>
        </is>
      </c>
      <c r="B382" s="11" t="n">
        <v>10</v>
      </c>
      <c r="C382" s="11" t="inlineStr">
        <is>
          <t>שירות ותמיכה</t>
        </is>
      </c>
      <c r="D382" s="11" t="inlineStr">
        <is>
          <t>הוצאות תפעול</t>
        </is>
      </c>
      <c r="E382" s="11" t="inlineStr">
        <is>
          <t>הוצאות משרד</t>
        </is>
      </c>
      <c r="F382" s="12" t="n">
        <v>1796</v>
      </c>
    </row>
    <row r="383">
      <c r="A383" s="11" t="inlineStr">
        <is>
          <t>אוקטובר</t>
        </is>
      </c>
      <c r="B383" s="11" t="n">
        <v>10</v>
      </c>
      <c r="C383" s="11" t="inlineStr">
        <is>
          <t>מכירות ישירות</t>
        </is>
      </c>
      <c r="D383" s="11" t="inlineStr">
        <is>
          <t>הוצאות תפעול</t>
        </is>
      </c>
      <c r="E383" s="11" t="inlineStr">
        <is>
          <t>עמלות סליקה</t>
        </is>
      </c>
      <c r="F383" s="12" t="n">
        <v>7942</v>
      </c>
    </row>
    <row r="384">
      <c r="A384" s="11" t="inlineStr">
        <is>
          <t>אוקטובר</t>
        </is>
      </c>
      <c r="B384" s="11" t="n">
        <v>10</v>
      </c>
      <c r="C384" s="11" t="inlineStr">
        <is>
          <t>ערוץ מפיצים</t>
        </is>
      </c>
      <c r="D384" s="11" t="inlineStr">
        <is>
          <t>הוצאות תפעול</t>
        </is>
      </c>
      <c r="E384" s="11" t="inlineStr">
        <is>
          <t>עמלות סליקה</t>
        </is>
      </c>
      <c r="F384" s="12" t="n">
        <v>4332</v>
      </c>
    </row>
    <row r="385">
      <c r="A385" s="11" t="inlineStr">
        <is>
          <t>אוקטובר</t>
        </is>
      </c>
      <c r="B385" s="11" t="n">
        <v>10</v>
      </c>
      <c r="C385" s="11" t="inlineStr">
        <is>
          <t>שירות ותמיכה</t>
        </is>
      </c>
      <c r="D385" s="11" t="inlineStr">
        <is>
          <t>הוצאות תפעול</t>
        </is>
      </c>
      <c r="E385" s="11" t="inlineStr">
        <is>
          <t>עמלות סליקה</t>
        </is>
      </c>
      <c r="F385" s="12" t="n">
        <v>2166</v>
      </c>
    </row>
    <row r="386">
      <c r="A386" s="11" t="inlineStr">
        <is>
          <t>אוקטובר</t>
        </is>
      </c>
      <c r="B386" s="11" t="n">
        <v>10</v>
      </c>
      <c r="C386" s="11" t="inlineStr">
        <is>
          <t>מכירות ישירות</t>
        </is>
      </c>
      <c r="D386" s="11" t="inlineStr">
        <is>
          <t>הוצאות תפעול</t>
        </is>
      </c>
      <c r="E386" s="11" t="inlineStr">
        <is>
          <t>ייעוץ מקצועי</t>
        </is>
      </c>
      <c r="F386" s="12" t="n">
        <v>6166</v>
      </c>
    </row>
    <row r="387">
      <c r="A387" s="11" t="inlineStr">
        <is>
          <t>אוקטובר</t>
        </is>
      </c>
      <c r="B387" s="11" t="n">
        <v>10</v>
      </c>
      <c r="C387" s="11" t="inlineStr">
        <is>
          <t>ערוץ מפיצים</t>
        </is>
      </c>
      <c r="D387" s="11" t="inlineStr">
        <is>
          <t>הוצאות תפעול</t>
        </is>
      </c>
      <c r="E387" s="11" t="inlineStr">
        <is>
          <t>ייעוץ מקצועי</t>
        </is>
      </c>
      <c r="F387" s="12" t="n">
        <v>3363</v>
      </c>
    </row>
    <row r="388">
      <c r="A388" s="11" t="inlineStr">
        <is>
          <t>אוקטובר</t>
        </is>
      </c>
      <c r="B388" s="11" t="n">
        <v>10</v>
      </c>
      <c r="C388" s="11" t="inlineStr">
        <is>
          <t>שירות ותמיכה</t>
        </is>
      </c>
      <c r="D388" s="11" t="inlineStr">
        <is>
          <t>הוצאות תפעול</t>
        </is>
      </c>
      <c r="E388" s="11" t="inlineStr">
        <is>
          <t>ייעוץ מקצועי</t>
        </is>
      </c>
      <c r="F388" s="12" t="n">
        <v>1682</v>
      </c>
    </row>
    <row r="389">
      <c r="A389" s="11" t="inlineStr">
        <is>
          <t>אוקטובר</t>
        </is>
      </c>
      <c r="B389" s="11" t="n">
        <v>10</v>
      </c>
      <c r="C389" s="11" t="inlineStr">
        <is>
          <t>מכירות ישירות</t>
        </is>
      </c>
      <c r="D389" s="11" t="inlineStr">
        <is>
          <t>הוצאות תפעול</t>
        </is>
      </c>
      <c r="E389" s="11" t="inlineStr">
        <is>
          <t>פחת</t>
        </is>
      </c>
      <c r="F389" s="12" t="n">
        <v>5814</v>
      </c>
    </row>
    <row r="390">
      <c r="A390" s="11" t="inlineStr">
        <is>
          <t>אוקטובר</t>
        </is>
      </c>
      <c r="B390" s="11" t="n">
        <v>10</v>
      </c>
      <c r="C390" s="11" t="inlineStr">
        <is>
          <t>ערוץ מפיצים</t>
        </is>
      </c>
      <c r="D390" s="11" t="inlineStr">
        <is>
          <t>הוצאות תפעול</t>
        </is>
      </c>
      <c r="E390" s="11" t="inlineStr">
        <is>
          <t>פחת</t>
        </is>
      </c>
      <c r="F390" s="12" t="n">
        <v>5643</v>
      </c>
    </row>
    <row r="391">
      <c r="A391" s="11" t="inlineStr">
        <is>
          <t>אוקטובר</t>
        </is>
      </c>
      <c r="B391" s="11" t="n">
        <v>10</v>
      </c>
      <c r="C391" s="11" t="inlineStr">
        <is>
          <t>שירות ותמיכה</t>
        </is>
      </c>
      <c r="D391" s="11" t="inlineStr">
        <is>
          <t>הוצאות תפעול</t>
        </is>
      </c>
      <c r="E391" s="11" t="inlineStr">
        <is>
          <t>פחת</t>
        </is>
      </c>
      <c r="F391" s="12" t="n">
        <v>5643</v>
      </c>
    </row>
    <row r="392">
      <c r="A392" s="11" t="inlineStr">
        <is>
          <t>אוקטובר</t>
        </is>
      </c>
      <c r="B392" s="11" t="n">
        <v>10</v>
      </c>
      <c r="C392" s="11" t="inlineStr">
        <is>
          <t>מכירות ישירות</t>
        </is>
      </c>
      <c r="D392" s="11" t="inlineStr">
        <is>
          <t>הוצאות תפעול</t>
        </is>
      </c>
      <c r="E392" s="11" t="inlineStr">
        <is>
          <t>הוצאות מימון</t>
        </is>
      </c>
      <c r="F392" s="12" t="n">
        <v>3101</v>
      </c>
    </row>
    <row r="393">
      <c r="A393" s="11" t="inlineStr">
        <is>
          <t>אוקטובר</t>
        </is>
      </c>
      <c r="B393" s="11" t="n">
        <v>10</v>
      </c>
      <c r="C393" s="11" t="inlineStr">
        <is>
          <t>ערוץ מפיצים</t>
        </is>
      </c>
      <c r="D393" s="11" t="inlineStr">
        <is>
          <t>הוצאות תפעול</t>
        </is>
      </c>
      <c r="E393" s="11" t="inlineStr">
        <is>
          <t>הוצאות מימון</t>
        </is>
      </c>
      <c r="F393" s="12" t="n">
        <v>3010</v>
      </c>
    </row>
    <row r="394">
      <c r="A394" s="11" t="inlineStr">
        <is>
          <t>אוקטובר</t>
        </is>
      </c>
      <c r="B394" s="11" t="n">
        <v>10</v>
      </c>
      <c r="C394" s="11" t="inlineStr">
        <is>
          <t>שירות ותמיכה</t>
        </is>
      </c>
      <c r="D394" s="11" t="inlineStr">
        <is>
          <t>הוצאות תפעול</t>
        </is>
      </c>
      <c r="E394" s="11" t="inlineStr">
        <is>
          <t>הוצאות מימון</t>
        </is>
      </c>
      <c r="F394" s="12" t="n">
        <v>3010</v>
      </c>
    </row>
    <row r="395">
      <c r="A395" s="11" t="inlineStr">
        <is>
          <t>נובמבר</t>
        </is>
      </c>
      <c r="B395" s="11" t="n">
        <v>11</v>
      </c>
      <c r="C395" s="11" t="inlineStr">
        <is>
          <t>מכירות ישירות</t>
        </is>
      </c>
      <c r="D395" s="11" t="inlineStr">
        <is>
          <t>הכנסות</t>
        </is>
      </c>
      <c r="E395" s="11" t="inlineStr">
        <is>
          <t>הכנסות ממכירות</t>
        </is>
      </c>
      <c r="F395" s="12" t="n">
        <v>600160</v>
      </c>
    </row>
    <row r="396">
      <c r="A396" s="11" t="inlineStr">
        <is>
          <t>נובמבר</t>
        </is>
      </c>
      <c r="B396" s="11" t="n">
        <v>11</v>
      </c>
      <c r="C396" s="11" t="inlineStr">
        <is>
          <t>ערוץ מפיצים</t>
        </is>
      </c>
      <c r="D396" s="11" t="inlineStr">
        <is>
          <t>הכנסות</t>
        </is>
      </c>
      <c r="E396" s="11" t="inlineStr">
        <is>
          <t>הכנסות ממכירות</t>
        </is>
      </c>
      <c r="F396" s="12" t="n">
        <v>327360</v>
      </c>
    </row>
    <row r="397">
      <c r="A397" s="11" t="inlineStr">
        <is>
          <t>נובמבר</t>
        </is>
      </c>
      <c r="B397" s="11" t="n">
        <v>11</v>
      </c>
      <c r="C397" s="11" t="inlineStr">
        <is>
          <t>שירות ותמיכה</t>
        </is>
      </c>
      <c r="D397" s="11" t="inlineStr">
        <is>
          <t>הכנסות</t>
        </is>
      </c>
      <c r="E397" s="11" t="inlineStr">
        <is>
          <t>הכנסות ממכירות</t>
        </is>
      </c>
      <c r="F397" s="12" t="n">
        <v>163680</v>
      </c>
    </row>
    <row r="398">
      <c r="A398" s="11" t="inlineStr">
        <is>
          <t>נובמבר</t>
        </is>
      </c>
      <c r="B398" s="11" t="n">
        <v>11</v>
      </c>
      <c r="C398" s="11" t="inlineStr">
        <is>
          <t>מכירות ישירות</t>
        </is>
      </c>
      <c r="D398" s="11" t="inlineStr">
        <is>
          <t>הכנסות</t>
        </is>
      </c>
      <c r="E398" s="11" t="inlineStr">
        <is>
          <t>הכנסות משירות</t>
        </is>
      </c>
      <c r="F398" s="12" t="n">
        <v>5060</v>
      </c>
    </row>
    <row r="399">
      <c r="A399" s="11" t="inlineStr">
        <is>
          <t>נובמבר</t>
        </is>
      </c>
      <c r="B399" s="11" t="n">
        <v>11</v>
      </c>
      <c r="C399" s="11" t="inlineStr">
        <is>
          <t>ערוץ מפיצים</t>
        </is>
      </c>
      <c r="D399" s="11" t="inlineStr">
        <is>
          <t>הכנסות</t>
        </is>
      </c>
      <c r="E399" s="11" t="inlineStr">
        <is>
          <t>הכנסות משירות</t>
        </is>
      </c>
      <c r="F399" s="12" t="n">
        <v>5060</v>
      </c>
    </row>
    <row r="400">
      <c r="A400" s="11" t="inlineStr">
        <is>
          <t>נובמבר</t>
        </is>
      </c>
      <c r="B400" s="11" t="n">
        <v>11</v>
      </c>
      <c r="C400" s="11" t="inlineStr">
        <is>
          <t>שירות ותמיכה</t>
        </is>
      </c>
      <c r="D400" s="11" t="inlineStr">
        <is>
          <t>הכנסות</t>
        </is>
      </c>
      <c r="E400" s="11" t="inlineStr">
        <is>
          <t>הכנסות משירות</t>
        </is>
      </c>
      <c r="F400" s="12" t="n">
        <v>91080</v>
      </c>
    </row>
    <row r="401">
      <c r="A401" s="11" t="inlineStr">
        <is>
          <t>נובמבר</t>
        </is>
      </c>
      <c r="B401" s="11" t="n">
        <v>11</v>
      </c>
      <c r="C401" s="11" t="inlineStr">
        <is>
          <t>מכירות ישירות</t>
        </is>
      </c>
      <c r="D401" s="11" t="inlineStr">
        <is>
          <t>עלות המכר</t>
        </is>
      </c>
      <c r="E401" s="11" t="inlineStr">
        <is>
          <t>עלות המכר</t>
        </is>
      </c>
      <c r="F401" s="12" t="n">
        <v>390104</v>
      </c>
    </row>
    <row r="402">
      <c r="A402" s="11" t="inlineStr">
        <is>
          <t>נובמבר</t>
        </is>
      </c>
      <c r="B402" s="11" t="n">
        <v>11</v>
      </c>
      <c r="C402" s="11" t="inlineStr">
        <is>
          <t>ערוץ מפיצים</t>
        </is>
      </c>
      <c r="D402" s="11" t="inlineStr">
        <is>
          <t>עלות המכר</t>
        </is>
      </c>
      <c r="E402" s="11" t="inlineStr">
        <is>
          <t>עלות המכר</t>
        </is>
      </c>
      <c r="F402" s="12" t="n">
        <v>212784</v>
      </c>
    </row>
    <row r="403">
      <c r="A403" s="11" t="inlineStr">
        <is>
          <t>נובמבר</t>
        </is>
      </c>
      <c r="B403" s="11" t="n">
        <v>11</v>
      </c>
      <c r="C403" s="11" t="inlineStr">
        <is>
          <t>שירות ותמיכה</t>
        </is>
      </c>
      <c r="D403" s="11" t="inlineStr">
        <is>
          <t>עלות המכר</t>
        </is>
      </c>
      <c r="E403" s="11" t="inlineStr">
        <is>
          <t>עלות המכר</t>
        </is>
      </c>
      <c r="F403" s="12" t="n">
        <v>106392</v>
      </c>
    </row>
    <row r="404">
      <c r="A404" s="11" t="inlineStr">
        <is>
          <t>נובמבר</t>
        </is>
      </c>
      <c r="B404" s="11" t="n">
        <v>11</v>
      </c>
      <c r="C404" s="11" t="inlineStr">
        <is>
          <t>מכירות ישירות</t>
        </is>
      </c>
      <c r="D404" s="11" t="inlineStr">
        <is>
          <t>הוצאות תפעול</t>
        </is>
      </c>
      <c r="E404" s="11" t="inlineStr">
        <is>
          <t>שכר ונלוות</t>
        </is>
      </c>
      <c r="F404" s="12" t="n">
        <v>99220</v>
      </c>
    </row>
    <row r="405">
      <c r="A405" s="11" t="inlineStr">
        <is>
          <t>נובמבר</t>
        </is>
      </c>
      <c r="B405" s="11" t="n">
        <v>11</v>
      </c>
      <c r="C405" s="11" t="inlineStr">
        <is>
          <t>ערוץ מפיצים</t>
        </is>
      </c>
      <c r="D405" s="11" t="inlineStr">
        <is>
          <t>הוצאות תפעול</t>
        </is>
      </c>
      <c r="E405" s="11" t="inlineStr">
        <is>
          <t>שכר ונלוות</t>
        </is>
      </c>
      <c r="F405" s="12" t="n">
        <v>54120</v>
      </c>
    </row>
    <row r="406">
      <c r="A406" s="11" t="inlineStr">
        <is>
          <t>נובמבר</t>
        </is>
      </c>
      <c r="B406" s="11" t="n">
        <v>11</v>
      </c>
      <c r="C406" s="11" t="inlineStr">
        <is>
          <t>שירות ותמיכה</t>
        </is>
      </c>
      <c r="D406" s="11" t="inlineStr">
        <is>
          <t>הוצאות תפעול</t>
        </is>
      </c>
      <c r="E406" s="11" t="inlineStr">
        <is>
          <t>שכר ונלוות</t>
        </is>
      </c>
      <c r="F406" s="12" t="n">
        <v>27060</v>
      </c>
    </row>
    <row r="407">
      <c r="A407" s="11" t="inlineStr">
        <is>
          <t>נובמבר</t>
        </is>
      </c>
      <c r="B407" s="11" t="n">
        <v>11</v>
      </c>
      <c r="C407" s="11" t="inlineStr">
        <is>
          <t>מכירות ישירות</t>
        </is>
      </c>
      <c r="D407" s="11" t="inlineStr">
        <is>
          <t>הוצאות תפעול</t>
        </is>
      </c>
      <c r="E407" s="11" t="inlineStr">
        <is>
          <t>שכר דירה ואחזקה</t>
        </is>
      </c>
      <c r="F407" s="12" t="n">
        <v>11848</v>
      </c>
    </row>
    <row r="408">
      <c r="A408" s="11" t="inlineStr">
        <is>
          <t>נובמבר</t>
        </is>
      </c>
      <c r="B408" s="11" t="n">
        <v>11</v>
      </c>
      <c r="C408" s="11" t="inlineStr">
        <is>
          <t>ערוץ מפיצים</t>
        </is>
      </c>
      <c r="D408" s="11" t="inlineStr">
        <is>
          <t>הוצאות תפעול</t>
        </is>
      </c>
      <c r="E408" s="11" t="inlineStr">
        <is>
          <t>שכר דירה ואחזקה</t>
        </is>
      </c>
      <c r="F408" s="12" t="n">
        <v>11500</v>
      </c>
    </row>
    <row r="409">
      <c r="A409" s="11" t="inlineStr">
        <is>
          <t>נובמבר</t>
        </is>
      </c>
      <c r="B409" s="11" t="n">
        <v>11</v>
      </c>
      <c r="C409" s="11" t="inlineStr">
        <is>
          <t>שירות ותמיכה</t>
        </is>
      </c>
      <c r="D409" s="11" t="inlineStr">
        <is>
          <t>הוצאות תפעול</t>
        </is>
      </c>
      <c r="E409" s="11" t="inlineStr">
        <is>
          <t>שכר דירה ואחזקה</t>
        </is>
      </c>
      <c r="F409" s="12" t="n">
        <v>11500</v>
      </c>
    </row>
    <row r="410">
      <c r="A410" s="11" t="inlineStr">
        <is>
          <t>נובמבר</t>
        </is>
      </c>
      <c r="B410" s="11" t="n">
        <v>11</v>
      </c>
      <c r="C410" s="11" t="inlineStr">
        <is>
          <t>מכירות ישירות</t>
        </is>
      </c>
      <c r="D410" s="11" t="inlineStr">
        <is>
          <t>הוצאות תפעול</t>
        </is>
      </c>
      <c r="E410" s="11" t="inlineStr">
        <is>
          <t>הוצאות רכב</t>
        </is>
      </c>
      <c r="F410" s="12" t="n">
        <v>10358</v>
      </c>
    </row>
    <row r="411">
      <c r="A411" s="11" t="inlineStr">
        <is>
          <t>נובמבר</t>
        </is>
      </c>
      <c r="B411" s="11" t="n">
        <v>11</v>
      </c>
      <c r="C411" s="11" t="inlineStr">
        <is>
          <t>ערוץ מפיצים</t>
        </is>
      </c>
      <c r="D411" s="11" t="inlineStr">
        <is>
          <t>הוצאות תפעול</t>
        </is>
      </c>
      <c r="E411" s="11" t="inlineStr">
        <is>
          <t>הוצאות רכב</t>
        </is>
      </c>
      <c r="F411" s="12" t="n">
        <v>5650</v>
      </c>
    </row>
    <row r="412">
      <c r="A412" s="11" t="inlineStr">
        <is>
          <t>נובמבר</t>
        </is>
      </c>
      <c r="B412" s="11" t="n">
        <v>11</v>
      </c>
      <c r="C412" s="11" t="inlineStr">
        <is>
          <t>שירות ותמיכה</t>
        </is>
      </c>
      <c r="D412" s="11" t="inlineStr">
        <is>
          <t>הוצאות תפעול</t>
        </is>
      </c>
      <c r="E412" s="11" t="inlineStr">
        <is>
          <t>הוצאות רכב</t>
        </is>
      </c>
      <c r="F412" s="12" t="n">
        <v>2825</v>
      </c>
    </row>
    <row r="413">
      <c r="A413" s="11" t="inlineStr">
        <is>
          <t>נובמבר</t>
        </is>
      </c>
      <c r="B413" s="11" t="n">
        <v>11</v>
      </c>
      <c r="C413" s="11" t="inlineStr">
        <is>
          <t>מכירות ישירות</t>
        </is>
      </c>
      <c r="D413" s="11" t="inlineStr">
        <is>
          <t>הוצאות תפעול</t>
        </is>
      </c>
      <c r="E413" s="11" t="inlineStr">
        <is>
          <t>פרסום ושיווק</t>
        </is>
      </c>
      <c r="F413" s="12" t="n">
        <v>15972</v>
      </c>
    </row>
    <row r="414">
      <c r="A414" s="11" t="inlineStr">
        <is>
          <t>נובמבר</t>
        </is>
      </c>
      <c r="B414" s="11" t="n">
        <v>11</v>
      </c>
      <c r="C414" s="11" t="inlineStr">
        <is>
          <t>ערוץ מפיצים</t>
        </is>
      </c>
      <c r="D414" s="11" t="inlineStr">
        <is>
          <t>הוצאות תפעול</t>
        </is>
      </c>
      <c r="E414" s="11" t="inlineStr">
        <is>
          <t>פרסום ושיווק</t>
        </is>
      </c>
      <c r="F414" s="12" t="n">
        <v>8712</v>
      </c>
    </row>
    <row r="415">
      <c r="A415" s="11" t="inlineStr">
        <is>
          <t>נובמבר</t>
        </is>
      </c>
      <c r="B415" s="11" t="n">
        <v>11</v>
      </c>
      <c r="C415" s="11" t="inlineStr">
        <is>
          <t>שירות ותמיכה</t>
        </is>
      </c>
      <c r="D415" s="11" t="inlineStr">
        <is>
          <t>הוצאות תפעול</t>
        </is>
      </c>
      <c r="E415" s="11" t="inlineStr">
        <is>
          <t>פרסום ושיווק</t>
        </is>
      </c>
      <c r="F415" s="12" t="n">
        <v>4356</v>
      </c>
    </row>
    <row r="416">
      <c r="A416" s="11" t="inlineStr">
        <is>
          <t>נובמבר</t>
        </is>
      </c>
      <c r="B416" s="11" t="n">
        <v>11</v>
      </c>
      <c r="C416" s="11" t="inlineStr">
        <is>
          <t>מכירות ישירות</t>
        </is>
      </c>
      <c r="D416" s="11" t="inlineStr">
        <is>
          <t>הוצאות תפעול</t>
        </is>
      </c>
      <c r="E416" s="11" t="inlineStr">
        <is>
          <t>כיבודים ואירוח</t>
        </is>
      </c>
      <c r="F416" s="12" t="n">
        <v>2323</v>
      </c>
    </row>
    <row r="417">
      <c r="A417" s="11" t="inlineStr">
        <is>
          <t>נובמבר</t>
        </is>
      </c>
      <c r="B417" s="11" t="n">
        <v>11</v>
      </c>
      <c r="C417" s="11" t="inlineStr">
        <is>
          <t>ערוץ מפיצים</t>
        </is>
      </c>
      <c r="D417" s="11" t="inlineStr">
        <is>
          <t>הוצאות תפעול</t>
        </is>
      </c>
      <c r="E417" s="11" t="inlineStr">
        <is>
          <t>כיבודים ואירוח</t>
        </is>
      </c>
      <c r="F417" s="12" t="n">
        <v>1267</v>
      </c>
    </row>
    <row r="418">
      <c r="A418" s="11" t="inlineStr">
        <is>
          <t>נובמבר</t>
        </is>
      </c>
      <c r="B418" s="11" t="n">
        <v>11</v>
      </c>
      <c r="C418" s="11" t="inlineStr">
        <is>
          <t>שירות ותמיכה</t>
        </is>
      </c>
      <c r="D418" s="11" t="inlineStr">
        <is>
          <t>הוצאות תפעול</t>
        </is>
      </c>
      <c r="E418" s="11" t="inlineStr">
        <is>
          <t>כיבודים ואירוח</t>
        </is>
      </c>
      <c r="F418" s="12" t="n">
        <v>634</v>
      </c>
    </row>
    <row r="419">
      <c r="A419" s="11" t="inlineStr">
        <is>
          <t>נובמבר</t>
        </is>
      </c>
      <c r="B419" s="11" t="n">
        <v>11</v>
      </c>
      <c r="C419" s="11" t="inlineStr">
        <is>
          <t>מכירות ישירות</t>
        </is>
      </c>
      <c r="D419" s="11" t="inlineStr">
        <is>
          <t>הוצאות תפעול</t>
        </is>
      </c>
      <c r="E419" s="11" t="inlineStr">
        <is>
          <t>הוצאות משרד</t>
        </is>
      </c>
      <c r="F419" s="12" t="n">
        <v>6098</v>
      </c>
    </row>
    <row r="420">
      <c r="A420" s="11" t="inlineStr">
        <is>
          <t>נובמבר</t>
        </is>
      </c>
      <c r="B420" s="11" t="n">
        <v>11</v>
      </c>
      <c r="C420" s="11" t="inlineStr">
        <is>
          <t>ערוץ מפיצים</t>
        </is>
      </c>
      <c r="D420" s="11" t="inlineStr">
        <is>
          <t>הוצאות תפעול</t>
        </is>
      </c>
      <c r="E420" s="11" t="inlineStr">
        <is>
          <t>הוצאות משרד</t>
        </is>
      </c>
      <c r="F420" s="12" t="n">
        <v>3326</v>
      </c>
    </row>
    <row r="421">
      <c r="A421" s="11" t="inlineStr">
        <is>
          <t>נובמבר</t>
        </is>
      </c>
      <c r="B421" s="11" t="n">
        <v>11</v>
      </c>
      <c r="C421" s="11" t="inlineStr">
        <is>
          <t>שירות ותמיכה</t>
        </is>
      </c>
      <c r="D421" s="11" t="inlineStr">
        <is>
          <t>הוצאות תפעול</t>
        </is>
      </c>
      <c r="E421" s="11" t="inlineStr">
        <is>
          <t>הוצאות משרד</t>
        </is>
      </c>
      <c r="F421" s="12" t="n">
        <v>1663</v>
      </c>
    </row>
    <row r="422">
      <c r="A422" s="11" t="inlineStr">
        <is>
          <t>נובמבר</t>
        </is>
      </c>
      <c r="B422" s="11" t="n">
        <v>11</v>
      </c>
      <c r="C422" s="11" t="inlineStr">
        <is>
          <t>מכירות ישירות</t>
        </is>
      </c>
      <c r="D422" s="11" t="inlineStr">
        <is>
          <t>הוצאות תפעול</t>
        </is>
      </c>
      <c r="E422" s="11" t="inlineStr">
        <is>
          <t>עמלות סליקה</t>
        </is>
      </c>
      <c r="F422" s="12" t="n">
        <v>7357</v>
      </c>
    </row>
    <row r="423">
      <c r="A423" s="11" t="inlineStr">
        <is>
          <t>נובמבר</t>
        </is>
      </c>
      <c r="B423" s="11" t="n">
        <v>11</v>
      </c>
      <c r="C423" s="11" t="inlineStr">
        <is>
          <t>ערוץ מפיצים</t>
        </is>
      </c>
      <c r="D423" s="11" t="inlineStr">
        <is>
          <t>הוצאות תפעול</t>
        </is>
      </c>
      <c r="E423" s="11" t="inlineStr">
        <is>
          <t>עמלות סליקה</t>
        </is>
      </c>
      <c r="F423" s="12" t="n">
        <v>4013</v>
      </c>
    </row>
    <row r="424">
      <c r="A424" s="11" t="inlineStr">
        <is>
          <t>נובמבר</t>
        </is>
      </c>
      <c r="B424" s="11" t="n">
        <v>11</v>
      </c>
      <c r="C424" s="11" t="inlineStr">
        <is>
          <t>שירות ותמיכה</t>
        </is>
      </c>
      <c r="D424" s="11" t="inlineStr">
        <is>
          <t>הוצאות תפעול</t>
        </is>
      </c>
      <c r="E424" s="11" t="inlineStr">
        <is>
          <t>עמלות סליקה</t>
        </is>
      </c>
      <c r="F424" s="12" t="n">
        <v>2006</v>
      </c>
    </row>
    <row r="425">
      <c r="A425" s="11" t="inlineStr">
        <is>
          <t>נובמבר</t>
        </is>
      </c>
      <c r="B425" s="11" t="n">
        <v>11</v>
      </c>
      <c r="C425" s="11" t="inlineStr">
        <is>
          <t>מכירות ישירות</t>
        </is>
      </c>
      <c r="D425" s="11" t="inlineStr">
        <is>
          <t>הוצאות תפעול</t>
        </is>
      </c>
      <c r="E425" s="11" t="inlineStr">
        <is>
          <t>ייעוץ מקצועי</t>
        </is>
      </c>
      <c r="F425" s="12" t="n">
        <v>5711</v>
      </c>
    </row>
    <row r="426">
      <c r="A426" s="11" t="inlineStr">
        <is>
          <t>נובמבר</t>
        </is>
      </c>
      <c r="B426" s="11" t="n">
        <v>11</v>
      </c>
      <c r="C426" s="11" t="inlineStr">
        <is>
          <t>ערוץ מפיצים</t>
        </is>
      </c>
      <c r="D426" s="11" t="inlineStr">
        <is>
          <t>הוצאות תפעול</t>
        </is>
      </c>
      <c r="E426" s="11" t="inlineStr">
        <is>
          <t>ייעוץ מקצועי</t>
        </is>
      </c>
      <c r="F426" s="12" t="n">
        <v>3115</v>
      </c>
    </row>
    <row r="427">
      <c r="A427" s="11" t="inlineStr">
        <is>
          <t>נובמבר</t>
        </is>
      </c>
      <c r="B427" s="11" t="n">
        <v>11</v>
      </c>
      <c r="C427" s="11" t="inlineStr">
        <is>
          <t>שירות ותמיכה</t>
        </is>
      </c>
      <c r="D427" s="11" t="inlineStr">
        <is>
          <t>הוצאות תפעול</t>
        </is>
      </c>
      <c r="E427" s="11" t="inlineStr">
        <is>
          <t>ייעוץ מקצועי</t>
        </is>
      </c>
      <c r="F427" s="12" t="n">
        <v>1558</v>
      </c>
    </row>
    <row r="428">
      <c r="A428" s="11" t="inlineStr">
        <is>
          <t>נובמבר</t>
        </is>
      </c>
      <c r="B428" s="11" t="n">
        <v>11</v>
      </c>
      <c r="C428" s="11" t="inlineStr">
        <is>
          <t>מכירות ישירות</t>
        </is>
      </c>
      <c r="D428" s="11" t="inlineStr">
        <is>
          <t>הוצאות תפעול</t>
        </is>
      </c>
      <c r="E428" s="11" t="inlineStr">
        <is>
          <t>פחת</t>
        </is>
      </c>
      <c r="F428" s="12" t="n">
        <v>5386</v>
      </c>
    </row>
    <row r="429">
      <c r="A429" s="11" t="inlineStr">
        <is>
          <t>נובמבר</t>
        </is>
      </c>
      <c r="B429" s="11" t="n">
        <v>11</v>
      </c>
      <c r="C429" s="11" t="inlineStr">
        <is>
          <t>ערוץ מפיצים</t>
        </is>
      </c>
      <c r="D429" s="11" t="inlineStr">
        <is>
          <t>הוצאות תפעול</t>
        </is>
      </c>
      <c r="E429" s="11" t="inlineStr">
        <is>
          <t>פחת</t>
        </is>
      </c>
      <c r="F429" s="12" t="n">
        <v>5227</v>
      </c>
    </row>
    <row r="430">
      <c r="A430" s="11" t="inlineStr">
        <is>
          <t>נובמבר</t>
        </is>
      </c>
      <c r="B430" s="11" t="n">
        <v>11</v>
      </c>
      <c r="C430" s="11" t="inlineStr">
        <is>
          <t>שירות ותמיכה</t>
        </is>
      </c>
      <c r="D430" s="11" t="inlineStr">
        <is>
          <t>הוצאות תפעול</t>
        </is>
      </c>
      <c r="E430" s="11" t="inlineStr">
        <is>
          <t>פחת</t>
        </is>
      </c>
      <c r="F430" s="12" t="n">
        <v>5227</v>
      </c>
    </row>
    <row r="431">
      <c r="A431" s="11" t="inlineStr">
        <is>
          <t>נובמבר</t>
        </is>
      </c>
      <c r="B431" s="11" t="n">
        <v>11</v>
      </c>
      <c r="C431" s="11" t="inlineStr">
        <is>
          <t>מכירות ישירות</t>
        </is>
      </c>
      <c r="D431" s="11" t="inlineStr">
        <is>
          <t>הוצאות תפעול</t>
        </is>
      </c>
      <c r="E431" s="11" t="inlineStr">
        <is>
          <t>הוצאות מימון</t>
        </is>
      </c>
      <c r="F431" s="12" t="n">
        <v>2872</v>
      </c>
    </row>
    <row r="432">
      <c r="A432" s="11" t="inlineStr">
        <is>
          <t>נובמבר</t>
        </is>
      </c>
      <c r="B432" s="11" t="n">
        <v>11</v>
      </c>
      <c r="C432" s="11" t="inlineStr">
        <is>
          <t>ערוץ מפיצים</t>
        </is>
      </c>
      <c r="D432" s="11" t="inlineStr">
        <is>
          <t>הוצאות תפעול</t>
        </is>
      </c>
      <c r="E432" s="11" t="inlineStr">
        <is>
          <t>הוצאות מימון</t>
        </is>
      </c>
      <c r="F432" s="12" t="n">
        <v>2788</v>
      </c>
    </row>
    <row r="433">
      <c r="A433" s="11" t="inlineStr">
        <is>
          <t>נובמבר</t>
        </is>
      </c>
      <c r="B433" s="11" t="n">
        <v>11</v>
      </c>
      <c r="C433" s="11" t="inlineStr">
        <is>
          <t>שירות ותמיכה</t>
        </is>
      </c>
      <c r="D433" s="11" t="inlineStr">
        <is>
          <t>הוצאות תפעול</t>
        </is>
      </c>
      <c r="E433" s="11" t="inlineStr">
        <is>
          <t>הוצאות מימון</t>
        </is>
      </c>
      <c r="F433" s="12" t="n">
        <v>2788</v>
      </c>
    </row>
    <row r="434">
      <c r="A434" s="11" t="inlineStr">
        <is>
          <t>דצמבר</t>
        </is>
      </c>
      <c r="B434" s="11" t="n">
        <v>12</v>
      </c>
      <c r="C434" s="11" t="inlineStr">
        <is>
          <t>מכירות ישירות</t>
        </is>
      </c>
      <c r="D434" s="11" t="inlineStr">
        <is>
          <t>הכנסות</t>
        </is>
      </c>
      <c r="E434" s="11" t="inlineStr">
        <is>
          <t>הכנסות ממכירות</t>
        </is>
      </c>
      <c r="F434" s="12" t="n">
        <v>702460</v>
      </c>
    </row>
    <row r="435">
      <c r="A435" s="11" t="inlineStr">
        <is>
          <t>דצמבר</t>
        </is>
      </c>
      <c r="B435" s="11" t="n">
        <v>12</v>
      </c>
      <c r="C435" s="11" t="inlineStr">
        <is>
          <t>ערוץ מפיצים</t>
        </is>
      </c>
      <c r="D435" s="11" t="inlineStr">
        <is>
          <t>הכנסות</t>
        </is>
      </c>
      <c r="E435" s="11" t="inlineStr">
        <is>
          <t>הכנסות ממכירות</t>
        </is>
      </c>
      <c r="F435" s="12" t="n">
        <v>383160</v>
      </c>
    </row>
    <row r="436">
      <c r="A436" s="11" t="inlineStr">
        <is>
          <t>דצמבר</t>
        </is>
      </c>
      <c r="B436" s="11" t="n">
        <v>12</v>
      </c>
      <c r="C436" s="11" t="inlineStr">
        <is>
          <t>שירות ותמיכה</t>
        </is>
      </c>
      <c r="D436" s="11" t="inlineStr">
        <is>
          <t>הכנסות</t>
        </is>
      </c>
      <c r="E436" s="11" t="inlineStr">
        <is>
          <t>הכנסות ממכירות</t>
        </is>
      </c>
      <c r="F436" s="12" t="n">
        <v>191580</v>
      </c>
    </row>
    <row r="437">
      <c r="A437" s="11" t="inlineStr">
        <is>
          <t>דצמבר</t>
        </is>
      </c>
      <c r="B437" s="11" t="n">
        <v>12</v>
      </c>
      <c r="C437" s="11" t="inlineStr">
        <is>
          <t>מכירות ישירות</t>
        </is>
      </c>
      <c r="D437" s="11" t="inlineStr">
        <is>
          <t>הכנסות</t>
        </is>
      </c>
      <c r="E437" s="11" t="inlineStr">
        <is>
          <t>הכנסות משירות</t>
        </is>
      </c>
      <c r="F437" s="12" t="n">
        <v>5922</v>
      </c>
    </row>
    <row r="438">
      <c r="A438" s="11" t="inlineStr">
        <is>
          <t>דצמבר</t>
        </is>
      </c>
      <c r="B438" s="11" t="n">
        <v>12</v>
      </c>
      <c r="C438" s="11" t="inlineStr">
        <is>
          <t>ערוץ מפיצים</t>
        </is>
      </c>
      <c r="D438" s="11" t="inlineStr">
        <is>
          <t>הכנסות</t>
        </is>
      </c>
      <c r="E438" s="11" t="inlineStr">
        <is>
          <t>הכנסות משירות</t>
        </is>
      </c>
      <c r="F438" s="12" t="n">
        <v>5922</v>
      </c>
    </row>
    <row r="439">
      <c r="A439" s="11" t="inlineStr">
        <is>
          <t>דצמבר</t>
        </is>
      </c>
      <c r="B439" s="11" t="n">
        <v>12</v>
      </c>
      <c r="C439" s="11" t="inlineStr">
        <is>
          <t>שירות ותמיכה</t>
        </is>
      </c>
      <c r="D439" s="11" t="inlineStr">
        <is>
          <t>הכנסות</t>
        </is>
      </c>
      <c r="E439" s="11" t="inlineStr">
        <is>
          <t>הכנסות משירות</t>
        </is>
      </c>
      <c r="F439" s="12" t="n">
        <v>106605</v>
      </c>
    </row>
    <row r="440">
      <c r="A440" s="11" t="inlineStr">
        <is>
          <t>דצמבר</t>
        </is>
      </c>
      <c r="B440" s="11" t="n">
        <v>12</v>
      </c>
      <c r="C440" s="11" t="inlineStr">
        <is>
          <t>מכירות ישירות</t>
        </is>
      </c>
      <c r="D440" s="11" t="inlineStr">
        <is>
          <t>עלות המכר</t>
        </is>
      </c>
      <c r="E440" s="11" t="inlineStr">
        <is>
          <t>עלות המכר</t>
        </is>
      </c>
      <c r="F440" s="12" t="n">
        <v>456599</v>
      </c>
    </row>
    <row r="441">
      <c r="A441" s="11" t="inlineStr">
        <is>
          <t>דצמבר</t>
        </is>
      </c>
      <c r="B441" s="11" t="n">
        <v>12</v>
      </c>
      <c r="C441" s="11" t="inlineStr">
        <is>
          <t>ערוץ מפיצים</t>
        </is>
      </c>
      <c r="D441" s="11" t="inlineStr">
        <is>
          <t>עלות המכר</t>
        </is>
      </c>
      <c r="E441" s="11" t="inlineStr">
        <is>
          <t>עלות המכר</t>
        </is>
      </c>
      <c r="F441" s="12" t="n">
        <v>249054</v>
      </c>
    </row>
    <row r="442">
      <c r="A442" s="11" t="inlineStr">
        <is>
          <t>דצמבר</t>
        </is>
      </c>
      <c r="B442" s="11" t="n">
        <v>12</v>
      </c>
      <c r="C442" s="11" t="inlineStr">
        <is>
          <t>שירות ותמיכה</t>
        </is>
      </c>
      <c r="D442" s="11" t="inlineStr">
        <is>
          <t>עלות המכר</t>
        </is>
      </c>
      <c r="E442" s="11" t="inlineStr">
        <is>
          <t>עלות המכר</t>
        </is>
      </c>
      <c r="F442" s="12" t="n">
        <v>124527</v>
      </c>
    </row>
    <row r="443">
      <c r="A443" s="11" t="inlineStr">
        <is>
          <t>דצמבר</t>
        </is>
      </c>
      <c r="B443" s="11" t="n">
        <v>12</v>
      </c>
      <c r="C443" s="11" t="inlineStr">
        <is>
          <t>מכירות ישירות</t>
        </is>
      </c>
      <c r="D443" s="11" t="inlineStr">
        <is>
          <t>הוצאות תפעול</t>
        </is>
      </c>
      <c r="E443" s="11" t="inlineStr">
        <is>
          <t>שכר ונלוות</t>
        </is>
      </c>
      <c r="F443" s="12" t="n">
        <v>116133</v>
      </c>
    </row>
    <row r="444">
      <c r="A444" s="11" t="inlineStr">
        <is>
          <t>דצמבר</t>
        </is>
      </c>
      <c r="B444" s="11" t="n">
        <v>12</v>
      </c>
      <c r="C444" s="11" t="inlineStr">
        <is>
          <t>ערוץ מפיצים</t>
        </is>
      </c>
      <c r="D444" s="11" t="inlineStr">
        <is>
          <t>הוצאות תפעול</t>
        </is>
      </c>
      <c r="E444" s="11" t="inlineStr">
        <is>
          <t>שכר ונלוות</t>
        </is>
      </c>
      <c r="F444" s="12" t="n">
        <v>63345</v>
      </c>
    </row>
    <row r="445">
      <c r="A445" s="11" t="inlineStr">
        <is>
          <t>דצמבר</t>
        </is>
      </c>
      <c r="B445" s="11" t="n">
        <v>12</v>
      </c>
      <c r="C445" s="11" t="inlineStr">
        <is>
          <t>שירות ותמיכה</t>
        </is>
      </c>
      <c r="D445" s="11" t="inlineStr">
        <is>
          <t>הוצאות תפעול</t>
        </is>
      </c>
      <c r="E445" s="11" t="inlineStr">
        <is>
          <t>שכר ונלוות</t>
        </is>
      </c>
      <c r="F445" s="12" t="n">
        <v>31672</v>
      </c>
    </row>
    <row r="446">
      <c r="A446" s="11" t="inlineStr">
        <is>
          <t>דצמבר</t>
        </is>
      </c>
      <c r="B446" s="11" t="n">
        <v>12</v>
      </c>
      <c r="C446" s="11" t="inlineStr">
        <is>
          <t>מכירות ישירות</t>
        </is>
      </c>
      <c r="D446" s="11" t="inlineStr">
        <is>
          <t>הוצאות תפעול</t>
        </is>
      </c>
      <c r="E446" s="11" t="inlineStr">
        <is>
          <t>שכר דירה ואחזקה</t>
        </is>
      </c>
      <c r="F446" s="12" t="n">
        <v>13868</v>
      </c>
    </row>
    <row r="447">
      <c r="A447" s="11" t="inlineStr">
        <is>
          <t>דצמבר</t>
        </is>
      </c>
      <c r="B447" s="11" t="n">
        <v>12</v>
      </c>
      <c r="C447" s="11" t="inlineStr">
        <is>
          <t>ערוץ מפיצים</t>
        </is>
      </c>
      <c r="D447" s="11" t="inlineStr">
        <is>
          <t>הוצאות תפעול</t>
        </is>
      </c>
      <c r="E447" s="11" t="inlineStr">
        <is>
          <t>שכר דירה ואחזקה</t>
        </is>
      </c>
      <c r="F447" s="12" t="n">
        <v>13460</v>
      </c>
    </row>
    <row r="448">
      <c r="A448" s="11" t="inlineStr">
        <is>
          <t>דצמבר</t>
        </is>
      </c>
      <c r="B448" s="11" t="n">
        <v>12</v>
      </c>
      <c r="C448" s="11" t="inlineStr">
        <is>
          <t>שירות ותמיכה</t>
        </is>
      </c>
      <c r="D448" s="11" t="inlineStr">
        <is>
          <t>הוצאות תפעול</t>
        </is>
      </c>
      <c r="E448" s="11" t="inlineStr">
        <is>
          <t>שכר דירה ואחזקה</t>
        </is>
      </c>
      <c r="F448" s="12" t="n">
        <v>13460</v>
      </c>
    </row>
    <row r="449">
      <c r="A449" s="11" t="inlineStr">
        <is>
          <t>דצמבר</t>
        </is>
      </c>
      <c r="B449" s="11" t="n">
        <v>12</v>
      </c>
      <c r="C449" s="11" t="inlineStr">
        <is>
          <t>מכירות ישירות</t>
        </is>
      </c>
      <c r="D449" s="11" t="inlineStr">
        <is>
          <t>הוצאות תפעול</t>
        </is>
      </c>
      <c r="E449" s="11" t="inlineStr">
        <is>
          <t>הוצאות רכב</t>
        </is>
      </c>
      <c r="F449" s="12" t="n">
        <v>12123</v>
      </c>
    </row>
    <row r="450">
      <c r="A450" s="11" t="inlineStr">
        <is>
          <t>דצמבר</t>
        </is>
      </c>
      <c r="B450" s="11" t="n">
        <v>12</v>
      </c>
      <c r="C450" s="11" t="inlineStr">
        <is>
          <t>ערוץ מפיצים</t>
        </is>
      </c>
      <c r="D450" s="11" t="inlineStr">
        <is>
          <t>הוצאות תפעול</t>
        </is>
      </c>
      <c r="E450" s="11" t="inlineStr">
        <is>
          <t>הוצאות רכב</t>
        </is>
      </c>
      <c r="F450" s="12" t="n">
        <v>6613</v>
      </c>
    </row>
    <row r="451">
      <c r="A451" s="11" t="inlineStr">
        <is>
          <t>דצמבר</t>
        </is>
      </c>
      <c r="B451" s="11" t="n">
        <v>12</v>
      </c>
      <c r="C451" s="11" t="inlineStr">
        <is>
          <t>שירות ותמיכה</t>
        </is>
      </c>
      <c r="D451" s="11" t="inlineStr">
        <is>
          <t>הוצאות תפעול</t>
        </is>
      </c>
      <c r="E451" s="11" t="inlineStr">
        <is>
          <t>הוצאות רכב</t>
        </is>
      </c>
      <c r="F451" s="12" t="n">
        <v>3306</v>
      </c>
    </row>
    <row r="452">
      <c r="A452" s="11" t="inlineStr">
        <is>
          <t>דצמבר</t>
        </is>
      </c>
      <c r="B452" s="11" t="n">
        <v>12</v>
      </c>
      <c r="C452" s="11" t="inlineStr">
        <is>
          <t>מכירות ישירות</t>
        </is>
      </c>
      <c r="D452" s="11" t="inlineStr">
        <is>
          <t>הוצאות תפעול</t>
        </is>
      </c>
      <c r="E452" s="11" t="inlineStr">
        <is>
          <t>פרסום ושיווק</t>
        </is>
      </c>
      <c r="F452" s="12" t="n">
        <v>18694</v>
      </c>
    </row>
    <row r="453">
      <c r="A453" s="11" t="inlineStr">
        <is>
          <t>דצמבר</t>
        </is>
      </c>
      <c r="B453" s="11" t="n">
        <v>12</v>
      </c>
      <c r="C453" s="11" t="inlineStr">
        <is>
          <t>ערוץ מפיצים</t>
        </is>
      </c>
      <c r="D453" s="11" t="inlineStr">
        <is>
          <t>הוצאות תפעול</t>
        </is>
      </c>
      <c r="E453" s="11" t="inlineStr">
        <is>
          <t>פרסום ושיווק</t>
        </is>
      </c>
      <c r="F453" s="12" t="n">
        <v>10197</v>
      </c>
    </row>
    <row r="454">
      <c r="A454" s="11" t="inlineStr">
        <is>
          <t>דצמבר</t>
        </is>
      </c>
      <c r="B454" s="11" t="n">
        <v>12</v>
      </c>
      <c r="C454" s="11" t="inlineStr">
        <is>
          <t>שירות ותמיכה</t>
        </is>
      </c>
      <c r="D454" s="11" t="inlineStr">
        <is>
          <t>הוצאות תפעול</t>
        </is>
      </c>
      <c r="E454" s="11" t="inlineStr">
        <is>
          <t>פרסום ושיווק</t>
        </is>
      </c>
      <c r="F454" s="12" t="n">
        <v>5098</v>
      </c>
    </row>
    <row r="455">
      <c r="A455" s="11" t="inlineStr">
        <is>
          <t>דצמבר</t>
        </is>
      </c>
      <c r="B455" s="11" t="n">
        <v>12</v>
      </c>
      <c r="C455" s="11" t="inlineStr">
        <is>
          <t>מכירות ישירות</t>
        </is>
      </c>
      <c r="D455" s="11" t="inlineStr">
        <is>
          <t>הוצאות תפעול</t>
        </is>
      </c>
      <c r="E455" s="11" t="inlineStr">
        <is>
          <t>כיבודים ואירוח</t>
        </is>
      </c>
      <c r="F455" s="12" t="n">
        <v>2719</v>
      </c>
    </row>
    <row r="456">
      <c r="A456" s="11" t="inlineStr">
        <is>
          <t>דצמבר</t>
        </is>
      </c>
      <c r="B456" s="11" t="n">
        <v>12</v>
      </c>
      <c r="C456" s="11" t="inlineStr">
        <is>
          <t>ערוץ מפיצים</t>
        </is>
      </c>
      <c r="D456" s="11" t="inlineStr">
        <is>
          <t>הוצאות תפעול</t>
        </is>
      </c>
      <c r="E456" s="11" t="inlineStr">
        <is>
          <t>כיבודים ואירוח</t>
        </is>
      </c>
      <c r="F456" s="12" t="n">
        <v>1483</v>
      </c>
    </row>
    <row r="457">
      <c r="A457" s="11" t="inlineStr">
        <is>
          <t>דצמבר</t>
        </is>
      </c>
      <c r="B457" s="11" t="n">
        <v>12</v>
      </c>
      <c r="C457" s="11" t="inlineStr">
        <is>
          <t>שירות ותמיכה</t>
        </is>
      </c>
      <c r="D457" s="11" t="inlineStr">
        <is>
          <t>הוצאות תפעול</t>
        </is>
      </c>
      <c r="E457" s="11" t="inlineStr">
        <is>
          <t>כיבודים ואירוח</t>
        </is>
      </c>
      <c r="F457" s="12" t="n">
        <v>742</v>
      </c>
    </row>
    <row r="458">
      <c r="A458" s="11" t="inlineStr">
        <is>
          <t>דצמבר</t>
        </is>
      </c>
      <c r="B458" s="11" t="n">
        <v>12</v>
      </c>
      <c r="C458" s="11" t="inlineStr">
        <is>
          <t>מכירות ישירות</t>
        </is>
      </c>
      <c r="D458" s="11" t="inlineStr">
        <is>
          <t>הוצאות תפעול</t>
        </is>
      </c>
      <c r="E458" s="11" t="inlineStr">
        <is>
          <t>הוצאות משרד</t>
        </is>
      </c>
      <c r="F458" s="12" t="n">
        <v>7138</v>
      </c>
    </row>
    <row r="459">
      <c r="A459" s="11" t="inlineStr">
        <is>
          <t>דצמבר</t>
        </is>
      </c>
      <c r="B459" s="11" t="n">
        <v>12</v>
      </c>
      <c r="C459" s="11" t="inlineStr">
        <is>
          <t>ערוץ מפיצים</t>
        </is>
      </c>
      <c r="D459" s="11" t="inlineStr">
        <is>
          <t>הוצאות תפעול</t>
        </is>
      </c>
      <c r="E459" s="11" t="inlineStr">
        <is>
          <t>הוצאות משרד</t>
        </is>
      </c>
      <c r="F459" s="12" t="n">
        <v>3893</v>
      </c>
    </row>
    <row r="460">
      <c r="A460" s="11" t="inlineStr">
        <is>
          <t>דצמבר</t>
        </is>
      </c>
      <c r="B460" s="11" t="n">
        <v>12</v>
      </c>
      <c r="C460" s="11" t="inlineStr">
        <is>
          <t>שירות ותמיכה</t>
        </is>
      </c>
      <c r="D460" s="11" t="inlineStr">
        <is>
          <t>הוצאות תפעול</t>
        </is>
      </c>
      <c r="E460" s="11" t="inlineStr">
        <is>
          <t>הוצאות משרד</t>
        </is>
      </c>
      <c r="F460" s="12" t="n">
        <v>1947</v>
      </c>
    </row>
    <row r="461">
      <c r="A461" s="11" t="inlineStr">
        <is>
          <t>דצמבר</t>
        </is>
      </c>
      <c r="B461" s="11" t="n">
        <v>12</v>
      </c>
      <c r="C461" s="11" t="inlineStr">
        <is>
          <t>מכירות ישירות</t>
        </is>
      </c>
      <c r="D461" s="11" t="inlineStr">
        <is>
          <t>הוצאות תפעול</t>
        </is>
      </c>
      <c r="E461" s="11" t="inlineStr">
        <is>
          <t>עמלות סליקה</t>
        </is>
      </c>
      <c r="F461" s="12" t="n">
        <v>8611</v>
      </c>
    </row>
    <row r="462">
      <c r="A462" s="11" t="inlineStr">
        <is>
          <t>דצמבר</t>
        </is>
      </c>
      <c r="B462" s="11" t="n">
        <v>12</v>
      </c>
      <c r="C462" s="11" t="inlineStr">
        <is>
          <t>ערוץ מפיצים</t>
        </is>
      </c>
      <c r="D462" s="11" t="inlineStr">
        <is>
          <t>הוצאות תפעול</t>
        </is>
      </c>
      <c r="E462" s="11" t="inlineStr">
        <is>
          <t>עמלות סליקה</t>
        </is>
      </c>
      <c r="F462" s="12" t="n">
        <v>4697</v>
      </c>
    </row>
    <row r="463">
      <c r="A463" s="11" t="inlineStr">
        <is>
          <t>דצמבר</t>
        </is>
      </c>
      <c r="B463" s="11" t="n">
        <v>12</v>
      </c>
      <c r="C463" s="11" t="inlineStr">
        <is>
          <t>שירות ותמיכה</t>
        </is>
      </c>
      <c r="D463" s="11" t="inlineStr">
        <is>
          <t>הוצאות תפעול</t>
        </is>
      </c>
      <c r="E463" s="11" t="inlineStr">
        <is>
          <t>עמלות סליקה</t>
        </is>
      </c>
      <c r="F463" s="12" t="n">
        <v>2348</v>
      </c>
    </row>
    <row r="464">
      <c r="A464" s="11" t="inlineStr">
        <is>
          <t>דצמבר</t>
        </is>
      </c>
      <c r="B464" s="11" t="n">
        <v>12</v>
      </c>
      <c r="C464" s="11" t="inlineStr">
        <is>
          <t>מכירות ישירות</t>
        </is>
      </c>
      <c r="D464" s="11" t="inlineStr">
        <is>
          <t>הוצאות תפעול</t>
        </is>
      </c>
      <c r="E464" s="11" t="inlineStr">
        <is>
          <t>ייעוץ מקצועי</t>
        </is>
      </c>
      <c r="F464" s="12" t="n">
        <v>6685</v>
      </c>
    </row>
    <row r="465">
      <c r="A465" s="11" t="inlineStr">
        <is>
          <t>דצמבר</t>
        </is>
      </c>
      <c r="B465" s="11" t="n">
        <v>12</v>
      </c>
      <c r="C465" s="11" t="inlineStr">
        <is>
          <t>ערוץ מפיצים</t>
        </is>
      </c>
      <c r="D465" s="11" t="inlineStr">
        <is>
          <t>הוצאות תפעול</t>
        </is>
      </c>
      <c r="E465" s="11" t="inlineStr">
        <is>
          <t>ייעוץ מקצועי</t>
        </is>
      </c>
      <c r="F465" s="12" t="n">
        <v>3646</v>
      </c>
    </row>
    <row r="466">
      <c r="A466" s="11" t="inlineStr">
        <is>
          <t>דצמבר</t>
        </is>
      </c>
      <c r="B466" s="11" t="n">
        <v>12</v>
      </c>
      <c r="C466" s="11" t="inlineStr">
        <is>
          <t>שירות ותמיכה</t>
        </is>
      </c>
      <c r="D466" s="11" t="inlineStr">
        <is>
          <t>הוצאות תפעול</t>
        </is>
      </c>
      <c r="E466" s="11" t="inlineStr">
        <is>
          <t>ייעוץ מקצועי</t>
        </is>
      </c>
      <c r="F466" s="12" t="n">
        <v>1823</v>
      </c>
    </row>
    <row r="467">
      <c r="A467" s="11" t="inlineStr">
        <is>
          <t>דצמבר</t>
        </is>
      </c>
      <c r="B467" s="11" t="n">
        <v>12</v>
      </c>
      <c r="C467" s="11" t="inlineStr">
        <is>
          <t>מכירות ישירות</t>
        </is>
      </c>
      <c r="D467" s="11" t="inlineStr">
        <is>
          <t>הוצאות תפעול</t>
        </is>
      </c>
      <c r="E467" s="11" t="inlineStr">
        <is>
          <t>פחת</t>
        </is>
      </c>
      <c r="F467" s="12" t="n">
        <v>6304</v>
      </c>
    </row>
    <row r="468">
      <c r="A468" s="11" t="inlineStr">
        <is>
          <t>דצמבר</t>
        </is>
      </c>
      <c r="B468" s="11" t="n">
        <v>12</v>
      </c>
      <c r="C468" s="11" t="inlineStr">
        <is>
          <t>ערוץ מפיצים</t>
        </is>
      </c>
      <c r="D468" s="11" t="inlineStr">
        <is>
          <t>הוצאות תפעול</t>
        </is>
      </c>
      <c r="E468" s="11" t="inlineStr">
        <is>
          <t>פחת</t>
        </is>
      </c>
      <c r="F468" s="12" t="n">
        <v>6118</v>
      </c>
    </row>
    <row r="469">
      <c r="A469" s="11" t="inlineStr">
        <is>
          <t>דצמבר</t>
        </is>
      </c>
      <c r="B469" s="11" t="n">
        <v>12</v>
      </c>
      <c r="C469" s="11" t="inlineStr">
        <is>
          <t>שירות ותמיכה</t>
        </is>
      </c>
      <c r="D469" s="11" t="inlineStr">
        <is>
          <t>הוצאות תפעול</t>
        </is>
      </c>
      <c r="E469" s="11" t="inlineStr">
        <is>
          <t>פחת</t>
        </is>
      </c>
      <c r="F469" s="12" t="n">
        <v>6118</v>
      </c>
    </row>
    <row r="470">
      <c r="A470" s="11" t="inlineStr">
        <is>
          <t>דצמבר</t>
        </is>
      </c>
      <c r="B470" s="11" t="n">
        <v>12</v>
      </c>
      <c r="C470" s="11" t="inlineStr">
        <is>
          <t>מכירות ישירות</t>
        </is>
      </c>
      <c r="D470" s="11" t="inlineStr">
        <is>
          <t>הוצאות תפעול</t>
        </is>
      </c>
      <c r="E470" s="11" t="inlineStr">
        <is>
          <t>הוצאות מימון</t>
        </is>
      </c>
      <c r="F470" s="12" t="n">
        <v>3362</v>
      </c>
    </row>
    <row r="471">
      <c r="A471" s="11" t="inlineStr">
        <is>
          <t>דצמבר</t>
        </is>
      </c>
      <c r="B471" s="11" t="n">
        <v>12</v>
      </c>
      <c r="C471" s="11" t="inlineStr">
        <is>
          <t>ערוץ מפיצים</t>
        </is>
      </c>
      <c r="D471" s="11" t="inlineStr">
        <is>
          <t>הוצאות תפעול</t>
        </is>
      </c>
      <c r="E471" s="11" t="inlineStr">
        <is>
          <t>הוצאות מימון</t>
        </is>
      </c>
      <c r="F471" s="12" t="n">
        <v>3263</v>
      </c>
    </row>
    <row r="472">
      <c r="A472" s="11" t="inlineStr">
        <is>
          <t>דצמבר</t>
        </is>
      </c>
      <c r="B472" s="11" t="n">
        <v>12</v>
      </c>
      <c r="C472" s="11" t="inlineStr">
        <is>
          <t>שירות ותמיכה</t>
        </is>
      </c>
      <c r="D472" s="11" t="inlineStr">
        <is>
          <t>הוצאות תפעול</t>
        </is>
      </c>
      <c r="E472" s="11" t="inlineStr">
        <is>
          <t>הוצאות מימון</t>
        </is>
      </c>
      <c r="F472" s="12" t="n">
        <v>3263</v>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33"/>
  <sheetViews>
    <sheetView rightToLeft="1" workbookViewId="0">
      <selection activeCell="A1" sqref="A1"/>
    </sheetView>
  </sheetViews>
  <sheetFormatPr baseColWidth="8" defaultRowHeight="15"/>
  <cols>
    <col width="22" customWidth="1" min="1" max="1"/>
    <col width="15" customWidth="1" min="2" max="2"/>
    <col width="16" customWidth="1" min="3" max="3"/>
    <col width="16" customWidth="1" min="4" max="4"/>
    <col width="16" customWidth="1" min="5" max="5"/>
    <col width="12" customWidth="1" min="6" max="6"/>
    <col width="14" customWidth="1" min="7" max="7"/>
    <col width="14" customWidth="1" min="8" max="8"/>
    <col width="4" customWidth="1" min="9" max="9"/>
  </cols>
  <sheetData>
    <row r="1" ht="34" customHeight="1">
      <c r="A1" s="1" t="inlineStr">
        <is>
          <t>מעבדה 2 · לוח בקרת ביצוע מול תקציב</t>
        </is>
      </c>
    </row>
    <row r="2" ht="20" customHeight="1">
      <c r="A2" s="2" t="inlineStr">
        <is>
          <t>SUMIFS הוא מנוע הבקרה. בחרו מחלקה ותקופה למעלה, והלוח כולו מתעדכן.</t>
        </is>
      </c>
    </row>
    <row r="3">
      <c r="A3" s="3" t="inlineStr">
        <is>
          <t>מחלקה:</t>
        </is>
      </c>
      <c r="B3" s="20" t="inlineStr">
        <is>
          <t>הכל</t>
        </is>
      </c>
      <c r="D3" s="14" t="inlineStr">
        <is>
          <t>הלוגיקה: SUMIFS סוכם את כל השורות שעונות בו-זמנית על כמה תנאים. זה בדיוק מה שמנהל שואל — ״כמה הוצאנו על שיווק במחלקת המפיצים ברבעון הראשון״.</t>
        </is>
      </c>
    </row>
    <row r="4">
      <c r="A4" s="3" t="inlineStr">
        <is>
          <t>מחודש (1-12):</t>
        </is>
      </c>
      <c r="B4" s="20" t="n">
        <v>1</v>
      </c>
      <c r="D4" s="14" t="inlineStr">
        <is>
          <t>הכלל שנלמד: אל תסננו נתונים ידנית. תמיד תנאי בנוסחה. סינון ידני לא ניתן לשחזור בחודש הבא, ולכן גם לא ניתן לביקורת.</t>
        </is>
      </c>
    </row>
    <row r="5">
      <c r="A5" s="3" t="inlineStr">
        <is>
          <t>עד חודש (1-12):</t>
        </is>
      </c>
      <c r="B5" s="20" t="n">
        <v>6</v>
      </c>
      <c r="D5" s="14" t="inlineStr">
        <is>
          <t>יישום נוסף: אותו מנגנון בדיוק מייצר דוח רווחיות לפי לקוח, לפי פרויקט או לפי סניף.</t>
        </is>
      </c>
    </row>
    <row r="7" ht="30" customHeight="1">
      <c r="A7" s="8" t="inlineStr">
        <is>
          <t>סעיף</t>
        </is>
      </c>
      <c r="B7" s="8" t="inlineStr">
        <is>
          <t>קבוצה</t>
        </is>
      </c>
      <c r="C7" s="8" t="inlineStr">
        <is>
          <t>תקציב לתקופה</t>
        </is>
      </c>
      <c r="D7" s="8" t="inlineStr">
        <is>
          <t>ביצוע בפועל</t>
        </is>
      </c>
      <c r="E7" s="8" t="inlineStr">
        <is>
          <t>סטייה ₪</t>
        </is>
      </c>
      <c r="F7" s="8" t="inlineStr">
        <is>
          <t>סטייה %</t>
        </is>
      </c>
      <c r="G7" s="8" t="inlineStr">
        <is>
          <t>התראה</t>
        </is>
      </c>
      <c r="H7" s="8" t="inlineStr">
        <is>
          <t>% מהמחזור</t>
        </is>
      </c>
    </row>
    <row r="8">
      <c r="A8" s="6" t="inlineStr">
        <is>
          <t>הכנסות ממכירות</t>
        </is>
      </c>
      <c r="B8" s="6" t="inlineStr">
        <is>
          <t>הכנסות</t>
        </is>
      </c>
      <c r="C8" s="16" t="n"/>
      <c r="D8" s="16" t="n"/>
      <c r="E8" s="16" t="n"/>
      <c r="F8" s="21" t="n"/>
      <c r="G8" s="17" t="n"/>
      <c r="H8" s="21" t="n"/>
    </row>
    <row r="9">
      <c r="A9" s="6" t="inlineStr">
        <is>
          <t>הכנסות משירות</t>
        </is>
      </c>
      <c r="B9" s="6" t="inlineStr">
        <is>
          <t>הכנסות</t>
        </is>
      </c>
      <c r="C9" s="16" t="n"/>
      <c r="D9" s="16" t="n"/>
      <c r="E9" s="16" t="n"/>
      <c r="F9" s="21" t="n"/>
      <c r="G9" s="17" t="n"/>
      <c r="H9" s="21" t="n"/>
    </row>
    <row r="10">
      <c r="A10" s="6" t="inlineStr">
        <is>
          <t>עלות המכר</t>
        </is>
      </c>
      <c r="B10" s="6" t="inlineStr">
        <is>
          <t>עלות המכר</t>
        </is>
      </c>
      <c r="C10" s="16" t="n"/>
      <c r="D10" s="16" t="n"/>
      <c r="E10" s="16" t="n"/>
      <c r="F10" s="21" t="n"/>
      <c r="G10" s="17" t="n"/>
      <c r="H10" s="21" t="n"/>
    </row>
    <row r="11">
      <c r="A11" s="6" t="inlineStr">
        <is>
          <t>שכר ונלוות</t>
        </is>
      </c>
      <c r="B11" s="6" t="inlineStr">
        <is>
          <t>הוצאות תפעול</t>
        </is>
      </c>
      <c r="C11" s="16" t="n"/>
      <c r="D11" s="16" t="n"/>
      <c r="E11" s="16" t="n"/>
      <c r="F11" s="21" t="n"/>
      <c r="G11" s="17" t="n"/>
      <c r="H11" s="21" t="n"/>
    </row>
    <row r="12">
      <c r="A12" s="6" t="inlineStr">
        <is>
          <t>שכר דירה ואחזקה</t>
        </is>
      </c>
      <c r="B12" s="6" t="inlineStr">
        <is>
          <t>הוצאות תפעול</t>
        </is>
      </c>
      <c r="C12" s="16" t="n"/>
      <c r="D12" s="16" t="n"/>
      <c r="E12" s="16" t="n"/>
      <c r="F12" s="21" t="n"/>
      <c r="G12" s="17" t="n"/>
      <c r="H12" s="21" t="n"/>
    </row>
    <row r="13">
      <c r="A13" s="6" t="inlineStr">
        <is>
          <t>הוצאות רכב</t>
        </is>
      </c>
      <c r="B13" s="6" t="inlineStr">
        <is>
          <t>הוצאות תפעול</t>
        </is>
      </c>
      <c r="C13" s="16" t="n"/>
      <c r="D13" s="16" t="n"/>
      <c r="E13" s="16" t="n"/>
      <c r="F13" s="21" t="n"/>
      <c r="G13" s="17" t="n"/>
      <c r="H13" s="21" t="n"/>
    </row>
    <row r="14">
      <c r="A14" s="6" t="inlineStr">
        <is>
          <t>פרסום ושיווק</t>
        </is>
      </c>
      <c r="B14" s="6" t="inlineStr">
        <is>
          <t>הוצאות תפעול</t>
        </is>
      </c>
      <c r="C14" s="16" t="n"/>
      <c r="D14" s="16" t="n"/>
      <c r="E14" s="16" t="n"/>
      <c r="F14" s="21" t="n"/>
      <c r="G14" s="17" t="n"/>
      <c r="H14" s="21" t="n"/>
    </row>
    <row r="15">
      <c r="A15" s="6" t="inlineStr">
        <is>
          <t>כיבודים ואירוח</t>
        </is>
      </c>
      <c r="B15" s="6" t="inlineStr">
        <is>
          <t>הוצאות תפעול</t>
        </is>
      </c>
      <c r="C15" s="16" t="n"/>
      <c r="D15" s="16" t="n"/>
      <c r="E15" s="16" t="n"/>
      <c r="F15" s="21" t="n"/>
      <c r="G15" s="17" t="n"/>
      <c r="H15" s="21" t="n"/>
    </row>
    <row r="16">
      <c r="A16" s="6" t="inlineStr">
        <is>
          <t>הוצאות משרד</t>
        </is>
      </c>
      <c r="B16" s="6" t="inlineStr">
        <is>
          <t>הוצאות תפעול</t>
        </is>
      </c>
      <c r="C16" s="16" t="n"/>
      <c r="D16" s="16" t="n"/>
      <c r="E16" s="16" t="n"/>
      <c r="F16" s="21" t="n"/>
      <c r="G16" s="17" t="n"/>
      <c r="H16" s="21" t="n"/>
    </row>
    <row r="17">
      <c r="A17" s="6" t="inlineStr">
        <is>
          <t>עמלות סליקה</t>
        </is>
      </c>
      <c r="B17" s="6" t="inlineStr">
        <is>
          <t>הוצאות תפעול</t>
        </is>
      </c>
      <c r="C17" s="16" t="n"/>
      <c r="D17" s="16" t="n"/>
      <c r="E17" s="16" t="n"/>
      <c r="F17" s="21" t="n"/>
      <c r="G17" s="17" t="n"/>
      <c r="H17" s="21" t="n"/>
    </row>
    <row r="18">
      <c r="A18" s="6" t="inlineStr">
        <is>
          <t>ייעוץ מקצועי</t>
        </is>
      </c>
      <c r="B18" s="6" t="inlineStr">
        <is>
          <t>הוצאות תפעול</t>
        </is>
      </c>
      <c r="C18" s="16" t="n"/>
      <c r="D18" s="16" t="n"/>
      <c r="E18" s="16" t="n"/>
      <c r="F18" s="21" t="n"/>
      <c r="G18" s="17" t="n"/>
      <c r="H18" s="21" t="n"/>
    </row>
    <row r="19">
      <c r="A19" s="6" t="inlineStr">
        <is>
          <t>פחת</t>
        </is>
      </c>
      <c r="B19" s="6" t="inlineStr">
        <is>
          <t>הוצאות תפעול</t>
        </is>
      </c>
      <c r="C19" s="16" t="n"/>
      <c r="D19" s="16" t="n"/>
      <c r="E19" s="16" t="n"/>
      <c r="F19" s="21" t="n"/>
      <c r="G19" s="17" t="n"/>
      <c r="H19" s="21" t="n"/>
    </row>
    <row r="20">
      <c r="A20" s="6" t="inlineStr">
        <is>
          <t>הוצאות מימון</t>
        </is>
      </c>
      <c r="B20" s="6" t="inlineStr">
        <is>
          <t>הוצאות תפעול</t>
        </is>
      </c>
      <c r="C20" s="16" t="n"/>
      <c r="D20" s="16" t="n"/>
      <c r="E20" s="16" t="n"/>
      <c r="F20" s="21" t="n"/>
      <c r="G20" s="17" t="n"/>
      <c r="H20" s="21" t="n"/>
    </row>
    <row r="23">
      <c r="A23" s="18" t="inlineStr">
        <is>
          <t>מדדי מפתח לתקופה</t>
        </is>
      </c>
    </row>
    <row r="24">
      <c r="A24" s="3" t="inlineStr">
        <is>
          <t>מחזור בפועל</t>
        </is>
      </c>
      <c r="B24" s="16" t="n"/>
    </row>
    <row r="25">
      <c r="A25" s="3" t="inlineStr">
        <is>
          <t>עלות המכר בפועל</t>
        </is>
      </c>
      <c r="B25" s="16" t="n"/>
    </row>
    <row r="26">
      <c r="A26" s="3" t="inlineStr">
        <is>
          <t>רווח גולמי</t>
        </is>
      </c>
      <c r="B26" s="16" t="n"/>
    </row>
    <row r="27">
      <c r="A27" s="3" t="inlineStr">
        <is>
          <t>שיעור רווח גולמי</t>
        </is>
      </c>
      <c r="B27" s="21" t="n"/>
    </row>
    <row r="28">
      <c r="A28" s="3" t="inlineStr">
        <is>
          <t>שיעור רווח גולמי בתקציב</t>
        </is>
      </c>
      <c r="B28" s="21" t="n"/>
    </row>
    <row r="29">
      <c r="A29" s="3" t="inlineStr">
        <is>
          <t>פער שיעור הרווח הגולמי (נקודות אחוז)</t>
        </is>
      </c>
      <c r="B29" s="21" t="n"/>
    </row>
    <row r="30">
      <c r="A30" s="3" t="inlineStr">
        <is>
          <t>רווח תפעולי בפועל</t>
        </is>
      </c>
      <c r="B30" s="16" t="n"/>
    </row>
    <row r="32">
      <c r="A32" s="14" t="inlineStr">
        <is>
          <t>קשר לפרקטיקה — מודול א׳: שורת ״פער שיעור הרווח הגולמי״ היא בדיוק המדד שפקיד השומה מסתכל עליו. סטייה של יותר מנקודת אחוז אחת מהענף או מהשנה הקודמת היא הטריגר הנפוץ ביותר לשומה לפי מיטב השפיטה. עדיף שתגלו אותה ברבעון, לא בדיון.</t>
        </is>
      </c>
    </row>
    <row r="33">
      <c r="A33" s="14" t="inlineStr">
        <is>
          <t>יישומים נוספים: אותו לוח משמש לבקרת פרויקטים (במקום מחלקה — פרויקט), לבקרת סניפים, ולמעקב אחר עמידה בתנאי קובננט בנקאי.</t>
        </is>
      </c>
    </row>
  </sheetData>
  <mergeCells count="2">
    <mergeCell ref="A1:I1"/>
    <mergeCell ref="A2:I2"/>
  </mergeCells>
  <conditionalFormatting sqref="F8:F20">
    <cfRule type="cellIs" priority="1" operator="greaterThan" dxfId="0">
      <formula>0.1</formula>
    </cfRule>
    <cfRule type="cellIs" priority="2" operator="lessThan" dxfId="1">
      <formula>-0.1</formula>
    </cfRule>
  </conditionalFormatting>
  <dataValidations count="2">
    <dataValidation sqref="B3" showDropDown="0" showInputMessage="0" showErrorMessage="0" allowBlank="0" type="list">
      <formula1>"הכל,מכירות ישירות,ערוץ מפיצים,שירות ותמיכה"</formula1>
    </dataValidation>
    <dataValidation sqref="B4:B5" showDropDown="0" showInputMessage="0" showErrorMessage="0" allowBlank="0" type="whole" operator="between">
      <formula1>1</formula1>
      <formula2>12</formula2>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6"/>
  <sheetViews>
    <sheetView rightToLeft="1" workbookViewId="0">
      <selection activeCell="A1" sqref="A1"/>
    </sheetView>
  </sheetViews>
  <sheetFormatPr baseColWidth="8" defaultRowHeight="15"/>
  <cols>
    <col width="18" customWidth="1" min="1" max="1"/>
    <col width="12" customWidth="1" min="2" max="2"/>
    <col width="13" customWidth="1" min="3" max="3"/>
    <col width="15" customWidth="1" min="4" max="4"/>
    <col width="12" customWidth="1" min="5" max="5"/>
    <col width="13" customWidth="1" min="6" max="6"/>
    <col width="15" customWidth="1" min="7" max="7"/>
    <col width="15" customWidth="1" min="8" max="8"/>
    <col width="14" customWidth="1" min="9" max="9"/>
    <col width="14" customWidth="1" min="10" max="10"/>
    <col width="14" customWidth="1" min="11" max="11"/>
  </cols>
  <sheetData>
    <row r="1" ht="34" customHeight="1">
      <c r="A1" s="1" t="inlineStr">
        <is>
          <t>מעבדה 2ב · פירוק הסטייה: מחיר, כמות ותמהיל</t>
        </is>
      </c>
    </row>
    <row r="2" ht="20" customHeight="1">
      <c r="A2" s="2" t="inlineStr">
        <is>
          <t>״ההכנסות מתחת לתקציב״ זו לא תשובה. התשובה היא כמה מזה מחיר, כמה כמות, וכמה תמהיל.</t>
        </is>
      </c>
    </row>
    <row r="3">
      <c r="A3" s="14" t="inlineStr">
        <is>
          <t>הלוגיקה העסקית: אותה סטייה כספית מחייבת שלוש פעולות ניהוליות שונות לגמרי. פער מחיר = בעיית תמחור או הנחות. פער כמות = בעיית ביקוש או אנשי מכירות. פער תמהיל = מכרנו את המוצר הלא נכון.</t>
        </is>
      </c>
    </row>
    <row r="4">
      <c r="A4" s="14" t="inlineStr">
        <is>
          <t>שלושת החישובים: פער מחיר = (מחיר בפועל פחות מחיר תקציב) כפול הכמות בפועל. פער כמות טהור = כמה יחידות נוספות מכרנו סך הכול, מוערך לפי התמהיל והמחירים שתוכננו. פער תמהיל = כמה מהיחידות האלה היו מוצר אחר מזה שתוכנן.</t>
        </is>
      </c>
    </row>
    <row r="5">
      <c r="A5" s="14" t="inlineStr">
        <is>
          <t>שימו לב: הכמויות מסוכמות בין מוצרים בעלי מחירים שונים מאוד. זו בדיוק הסיבה שפער התמהיל יוצא גדול — מכרנו הרבה יותר יחידות, אבל הן היו האביזרים הזולים ולא המדפסות היקרות. זו התובנה, לא תקלה.</t>
        </is>
      </c>
    </row>
    <row r="6">
      <c r="A6" s="14" t="inlineStr">
        <is>
          <t>יישום נוסף: אותו פירוק עובד על עלויות (תעריף מול שעות), על שכר (עלות עובד מול מספר עובדים) ועל רכש (מחיר יחידה מול כמות שנרכשה).</t>
        </is>
      </c>
    </row>
    <row r="7" ht="30" customHeight="1">
      <c r="A7" s="8" t="inlineStr">
        <is>
          <t>קבוצת מוצר</t>
        </is>
      </c>
      <c r="B7" s="8" t="inlineStr">
        <is>
          <t>כמות תקציב</t>
        </is>
      </c>
      <c r="C7" s="8" t="inlineStr">
        <is>
          <t>מחיר תקציב</t>
        </is>
      </c>
      <c r="D7" s="8" t="inlineStr">
        <is>
          <t>הכנסה תקציב</t>
        </is>
      </c>
      <c r="E7" s="8" t="inlineStr">
        <is>
          <t>כמות בפועל</t>
        </is>
      </c>
      <c r="F7" s="8" t="inlineStr">
        <is>
          <t>מחיר בפועל</t>
        </is>
      </c>
      <c r="G7" s="8" t="inlineStr">
        <is>
          <t>הכנסה בפועל</t>
        </is>
      </c>
      <c r="H7" s="8" t="inlineStr">
        <is>
          <t>סטייה כוללת</t>
        </is>
      </c>
      <c r="I7" s="8" t="inlineStr">
        <is>
          <t>פער מחיר</t>
        </is>
      </c>
      <c r="J7" s="8" t="inlineStr">
        <is>
          <t>פער כמות</t>
        </is>
      </c>
      <c r="K7" s="8" t="inlineStr">
        <is>
          <t>פער תמהיל</t>
        </is>
      </c>
    </row>
    <row r="8">
      <c r="A8" s="6" t="inlineStr">
        <is>
          <t>מדפסות</t>
        </is>
      </c>
      <c r="B8" s="22" t="n">
        <v>1180</v>
      </c>
      <c r="C8" s="23" t="n">
        <v>3250</v>
      </c>
      <c r="D8" s="16" t="n"/>
      <c r="E8" s="22" t="n">
        <v>1042</v>
      </c>
      <c r="F8" s="23" t="n">
        <v>3095</v>
      </c>
      <c r="G8" s="16" t="n"/>
      <c r="H8" s="16" t="n"/>
      <c r="I8" s="16" t="n"/>
      <c r="J8" s="16" t="n"/>
      <c r="K8" s="16" t="n"/>
    </row>
    <row r="9">
      <c r="A9" s="6" t="inlineStr">
        <is>
          <t>מסכים</t>
        </is>
      </c>
      <c r="B9" s="22" t="n">
        <v>2640</v>
      </c>
      <c r="C9" s="23" t="n">
        <v>1480</v>
      </c>
      <c r="D9" s="16" t="n"/>
      <c r="E9" s="22" t="n">
        <v>2905</v>
      </c>
      <c r="F9" s="23" t="n">
        <v>1425</v>
      </c>
      <c r="G9" s="16" t="n"/>
      <c r="H9" s="16" t="n"/>
      <c r="I9" s="16" t="n"/>
      <c r="J9" s="16" t="n"/>
      <c r="K9" s="16" t="n"/>
    </row>
    <row r="10">
      <c r="A10" s="6" t="inlineStr">
        <is>
          <t>אביזרים</t>
        </is>
      </c>
      <c r="B10" s="22" t="n">
        <v>9800</v>
      </c>
      <c r="C10" s="23" t="n">
        <v>168</v>
      </c>
      <c r="D10" s="16" t="n"/>
      <c r="E10" s="22" t="n">
        <v>11450</v>
      </c>
      <c r="F10" s="23" t="n">
        <v>159</v>
      </c>
      <c r="G10" s="16" t="n"/>
      <c r="H10" s="16" t="n"/>
      <c r="I10" s="16" t="n"/>
      <c r="J10" s="16" t="n"/>
      <c r="K10" s="16" t="n"/>
    </row>
    <row r="11">
      <c r="A11" s="6" t="inlineStr">
        <is>
          <t>שירות ואחריות</t>
        </is>
      </c>
      <c r="B11" s="22" t="n">
        <v>640</v>
      </c>
      <c r="C11" s="23" t="n">
        <v>1800</v>
      </c>
      <c r="D11" s="16" t="n"/>
      <c r="E11" s="22" t="n">
        <v>588</v>
      </c>
      <c r="F11" s="23" t="n">
        <v>1955</v>
      </c>
      <c r="G11" s="16" t="n"/>
      <c r="H11" s="16" t="n"/>
      <c r="I11" s="16" t="n"/>
      <c r="J11" s="16" t="n"/>
      <c r="K11" s="16" t="n"/>
    </row>
    <row r="12">
      <c r="A12" s="3" t="inlineStr">
        <is>
          <t>סה"כ</t>
        </is>
      </c>
      <c r="B12" s="24" t="n"/>
      <c r="D12" s="25" t="n"/>
      <c r="E12" s="24" t="n"/>
      <c r="G12" s="25" t="n"/>
      <c r="H12" s="25" t="n"/>
      <c r="I12" s="25" t="n"/>
      <c r="J12" s="25" t="n"/>
      <c r="K12" s="25" t="n"/>
    </row>
    <row r="14">
      <c r="A14" s="14" t="inlineStr">
        <is>
          <t>קשר לפרקטיקה: אם רוב הסטייה השלילית היא פער מחיר, ההנחות שנתן מנהל המכירות אכלו את הרווח — ובדוח לרשות המסים זה יופיע כירידה בשיעור הרווח הגולמי, שהיא בדיוק מוקד הסיכון בשומה. אם רוב הסטייה היא כמות, זו בעיה שיווקית ולא חשבונאית.</t>
        </is>
      </c>
    </row>
    <row r="15">
      <c r="A15" s="14" t="inlineStr">
        <is>
          <t>קריאת התוצאה בתרגיל: הכמות הכוללת עלתה, ולכן פער הכמות חיובי ומשמעותי. אבל פער התמהיל שלילי בסדר גודל דומה, כי הגידול הגיע מאביזרים בשקלים בודדים ולא ממדפסות. בתוספת הנחות המחיר, התוצאה נטו שלילית. ללקוח צריך להגיד: המכירות ״גדלו״ אבל הרווח ירד, וזו לא סתירה.</t>
        </is>
      </c>
    </row>
    <row r="16">
      <c r="A16" s="14" t="inlineStr">
        <is>
          <t>שאלת בקרה למשתתפים: באיזו קבוצת מוצר הרווחנו בכמות אבל הפסדנו במחיר? מה הייתם ממליצים ללקוח לעשות עם הקבוצה הזו?</t>
        </is>
      </c>
    </row>
  </sheetData>
  <mergeCells count="6">
    <mergeCell ref="A6:K6"/>
    <mergeCell ref="A4:K4"/>
    <mergeCell ref="A3:K3"/>
    <mergeCell ref="A2:K2"/>
    <mergeCell ref="A5:K5"/>
    <mergeCell ref="A1:K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7"/>
  <sheetViews>
    <sheetView rightToLeft="1" workbookViewId="0">
      <selection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0" customWidth="1" min="7" max="7"/>
    <col width="10" customWidth="1" min="8" max="8"/>
    <col width="10" customWidth="1" min="9" max="9"/>
    <col width="10" customWidth="1" min="10" max="10"/>
  </cols>
  <sheetData>
    <row r="1" ht="34" customHeight="1">
      <c r="A1" s="1" t="inlineStr">
        <is>
          <t>מעבדה 3 · הון חוזר ומחזור המזומן (CCC)</t>
        </is>
      </c>
    </row>
    <row r="2" ht="20" customHeight="1">
      <c r="A2" s="2" t="inlineStr">
        <is>
          <t>שלושה מספרים שמסבירים למה חברה רווחית יכולה להיות בלי מזומן.</t>
        </is>
      </c>
    </row>
    <row r="3">
      <c r="A3" s="14" t="inlineStr">
        <is>
          <t>הלוגיקה העסקית: רווח הוא דעה, מזומן הוא עובדה. DSO = כמה ימים לוקח לגבות מלקוח. DPO = כמה ימים לוקח לנו לשלם לספק. DIO = כמה ימים סחורה יושבת במלאי.</t>
        </is>
      </c>
    </row>
    <row r="4">
      <c r="A4" s="14" t="inlineStr">
        <is>
          <t>מחזור המזומן CCC = DSO + DIO פחות DPO. זה מספר הימים שבהם הכסף שלכם נמצא אצל מישהו אחר. ככל שהוא גבוה יותר, כך אתם מממנים את הלקוחות שלכם מהכיס.</t>
        </is>
      </c>
    </row>
    <row r="5">
      <c r="A5" s="14" t="inlineStr">
        <is>
          <t>יישום נוסף: CCC הוא הטיעון החזק ביותר מול הבנק בבקשת מסגרת אשראי, והוא גם מה שקונה פוטנציאלי בודק ראשון בבדיקת נאותות.</t>
        </is>
      </c>
    </row>
    <row r="7" ht="30" customHeight="1">
      <c r="A7" s="8" t="inlineStr">
        <is>
          <t>חודש</t>
        </is>
      </c>
      <c r="B7" s="8" t="inlineStr">
        <is>
          <t>מחזור</t>
        </is>
      </c>
      <c r="C7" s="8" t="inlineStr">
        <is>
          <t>עלות המכר</t>
        </is>
      </c>
      <c r="D7" s="8" t="inlineStr">
        <is>
          <t>יתרת לקוחות</t>
        </is>
      </c>
      <c r="E7" s="8" t="inlineStr">
        <is>
          <t>יתרת ספקים</t>
        </is>
      </c>
      <c r="F7" s="8" t="inlineStr">
        <is>
          <t>יתרת מלאי</t>
        </is>
      </c>
      <c r="G7" s="8" t="inlineStr">
        <is>
          <t>DSO</t>
        </is>
      </c>
      <c r="H7" s="8" t="inlineStr">
        <is>
          <t>DPO</t>
        </is>
      </c>
      <c r="I7" s="8" t="inlineStr">
        <is>
          <t>DIO</t>
        </is>
      </c>
      <c r="J7" s="8" t="inlineStr">
        <is>
          <t>CCC</t>
        </is>
      </c>
    </row>
    <row r="8">
      <c r="A8" s="6" t="inlineStr">
        <is>
          <t>ינואר</t>
        </is>
      </c>
      <c r="B8" s="23" t="n">
        <v>995690</v>
      </c>
      <c r="C8" s="23" t="n">
        <v>609616</v>
      </c>
      <c r="D8" s="23" t="n">
        <v>2429363</v>
      </c>
      <c r="E8" s="23" t="n">
        <v>845343</v>
      </c>
      <c r="F8" s="23" t="n">
        <v>923902</v>
      </c>
      <c r="G8" s="26" t="n"/>
      <c r="H8" s="26" t="n"/>
      <c r="I8" s="26" t="n"/>
      <c r="J8" s="26" t="n"/>
    </row>
    <row r="9">
      <c r="A9" s="6" t="inlineStr">
        <is>
          <t>פברואר</t>
        </is>
      </c>
      <c r="B9" s="23" t="n">
        <v>973572</v>
      </c>
      <c r="C9" s="23" t="n">
        <v>595321</v>
      </c>
      <c r="D9" s="23" t="n">
        <v>1948805</v>
      </c>
      <c r="E9" s="23" t="n">
        <v>945172</v>
      </c>
      <c r="F9" s="23" t="n">
        <v>1065890</v>
      </c>
      <c r="G9" s="26" t="n"/>
      <c r="H9" s="26" t="n"/>
      <c r="I9" s="26" t="n"/>
      <c r="J9" s="26" t="n"/>
    </row>
    <row r="10">
      <c r="A10" s="6" t="inlineStr">
        <is>
          <t>מרץ</t>
        </is>
      </c>
      <c r="B10" s="23" t="n">
        <v>1138834</v>
      </c>
      <c r="C10" s="23" t="n">
        <v>706543</v>
      </c>
      <c r="D10" s="23" t="n">
        <v>2875498</v>
      </c>
      <c r="E10" s="23" t="n">
        <v>920325</v>
      </c>
      <c r="F10" s="23" t="n">
        <v>1114719</v>
      </c>
      <c r="G10" s="26" t="n"/>
      <c r="H10" s="26" t="n"/>
      <c r="I10" s="26" t="n"/>
      <c r="J10" s="26" t="n"/>
    </row>
    <row r="11">
      <c r="A11" s="6" t="inlineStr">
        <is>
          <t>אפריל</t>
        </is>
      </c>
      <c r="B11" s="23" t="n">
        <v>1095267</v>
      </c>
      <c r="C11" s="23" t="n">
        <v>670115</v>
      </c>
      <c r="D11" s="23" t="n">
        <v>2438505</v>
      </c>
      <c r="E11" s="23" t="n">
        <v>1137220</v>
      </c>
      <c r="F11" s="23" t="n">
        <v>1171620</v>
      </c>
      <c r="G11" s="26" t="n"/>
      <c r="H11" s="26" t="n"/>
      <c r="I11" s="26" t="n"/>
      <c r="J11" s="26" t="n"/>
    </row>
    <row r="12">
      <c r="A12" s="6" t="inlineStr">
        <is>
          <t>מאי</t>
        </is>
      </c>
      <c r="B12" s="23" t="n">
        <v>1071387</v>
      </c>
      <c r="C12" s="23" t="n">
        <v>667954</v>
      </c>
      <c r="D12" s="23" t="n">
        <v>2423375</v>
      </c>
      <c r="E12" s="23" t="n">
        <v>971389</v>
      </c>
      <c r="F12" s="23" t="n">
        <v>1109696</v>
      </c>
      <c r="G12" s="26" t="n"/>
      <c r="H12" s="26" t="n"/>
      <c r="I12" s="26" t="n"/>
      <c r="J12" s="26" t="n"/>
    </row>
    <row r="13">
      <c r="A13" s="6" t="inlineStr">
        <is>
          <t>יוני</t>
        </is>
      </c>
      <c r="B13" s="23" t="n">
        <v>1158864</v>
      </c>
      <c r="C13" s="23" t="n">
        <v>707315</v>
      </c>
      <c r="D13" s="23" t="n">
        <v>2815836</v>
      </c>
      <c r="E13" s="23" t="n">
        <v>1049778</v>
      </c>
      <c r="F13" s="23" t="n">
        <v>1091641</v>
      </c>
      <c r="G13" s="26" t="n"/>
      <c r="H13" s="26" t="n"/>
      <c r="I13" s="26" t="n"/>
      <c r="J13" s="26" t="n"/>
    </row>
    <row r="14">
      <c r="A14" s="6" t="inlineStr">
        <is>
          <t>יולי</t>
        </is>
      </c>
      <c r="B14" s="23" t="n">
        <v>995431</v>
      </c>
      <c r="C14" s="23" t="n">
        <v>604242</v>
      </c>
      <c r="D14" s="23" t="n">
        <v>2016491</v>
      </c>
      <c r="E14" s="23" t="n">
        <v>902662</v>
      </c>
      <c r="F14" s="23" t="n">
        <v>1117229</v>
      </c>
      <c r="G14" s="26" t="n"/>
      <c r="H14" s="26" t="n"/>
      <c r="I14" s="26" t="n"/>
      <c r="J14" s="26" t="n"/>
    </row>
    <row r="15">
      <c r="A15" s="6" t="inlineStr">
        <is>
          <t>אוגוסט</t>
        </is>
      </c>
      <c r="B15" s="23" t="n">
        <v>941986</v>
      </c>
      <c r="C15" s="23" t="n">
        <v>569225</v>
      </c>
      <c r="D15" s="23" t="n">
        <v>2078719</v>
      </c>
      <c r="E15" s="23" t="n">
        <v>840104</v>
      </c>
      <c r="F15" s="23" t="n">
        <v>1064600</v>
      </c>
      <c r="G15" s="26" t="n"/>
      <c r="H15" s="26" t="n"/>
      <c r="I15" s="26" t="n"/>
      <c r="J15" s="26" t="n"/>
    </row>
    <row r="16">
      <c r="A16" s="6" t="inlineStr">
        <is>
          <t>ספטמבר</t>
        </is>
      </c>
      <c r="B16" s="23" t="n">
        <v>1301767</v>
      </c>
      <c r="C16" s="23" t="n">
        <v>776908</v>
      </c>
      <c r="D16" s="23" t="n">
        <v>2757555</v>
      </c>
      <c r="E16" s="23" t="n">
        <v>1181745</v>
      </c>
      <c r="F16" s="23" t="n">
        <v>1177808</v>
      </c>
      <c r="G16" s="26" t="n"/>
      <c r="H16" s="26" t="n"/>
      <c r="I16" s="26" t="n"/>
      <c r="J16" s="26" t="n"/>
    </row>
    <row r="17">
      <c r="A17" s="6" t="inlineStr">
        <is>
          <t>אוקטובר</t>
        </is>
      </c>
      <c r="B17" s="23" t="n">
        <v>1316860</v>
      </c>
      <c r="C17" s="23" t="n">
        <v>775871</v>
      </c>
      <c r="D17" s="23" t="n">
        <v>2900601</v>
      </c>
      <c r="E17" s="23" t="n">
        <v>1117743</v>
      </c>
      <c r="F17" s="23" t="n">
        <v>1316129</v>
      </c>
      <c r="G17" s="26" t="n"/>
      <c r="H17" s="26" t="n"/>
      <c r="I17" s="26" t="n"/>
      <c r="J17" s="26" t="n"/>
    </row>
    <row r="18">
      <c r="A18" s="6" t="inlineStr">
        <is>
          <t>נובמבר</t>
        </is>
      </c>
      <c r="B18" s="23" t="n">
        <v>1220404</v>
      </c>
      <c r="C18" s="23" t="n">
        <v>719960</v>
      </c>
      <c r="D18" s="23" t="n">
        <v>3160579</v>
      </c>
      <c r="E18" s="23" t="n">
        <v>1029079</v>
      </c>
      <c r="F18" s="23" t="n">
        <v>1273344</v>
      </c>
      <c r="G18" s="26" t="n"/>
      <c r="H18" s="26" t="n"/>
      <c r="I18" s="26" t="n"/>
      <c r="J18" s="26" t="n"/>
    </row>
    <row r="19">
      <c r="A19" s="6" t="inlineStr">
        <is>
          <t>דצמבר</t>
        </is>
      </c>
      <c r="B19" s="23" t="n">
        <v>1434967</v>
      </c>
      <c r="C19" s="23" t="n">
        <v>892607</v>
      </c>
      <c r="D19" s="23" t="n">
        <v>3452804</v>
      </c>
      <c r="E19" s="23" t="n">
        <v>1417796</v>
      </c>
      <c r="F19" s="23" t="n">
        <v>1644723</v>
      </c>
      <c r="G19" s="26" t="n"/>
      <c r="H19" s="26" t="n"/>
      <c r="I19" s="26" t="n"/>
      <c r="J19" s="26" t="n"/>
    </row>
    <row r="22">
      <c r="A22" s="18" t="inlineStr">
        <is>
          <t>הלֶבֶר: כמה שווה יום אחד</t>
        </is>
      </c>
    </row>
    <row r="23">
      <c r="A23" s="3" t="inlineStr">
        <is>
          <t>ממוצע DSO שנתי (ימים)</t>
        </is>
      </c>
      <c r="B23" s="26" t="n"/>
    </row>
    <row r="24">
      <c r="A24" s="3" t="inlineStr">
        <is>
          <t>ממוצע CCC שנתי (ימים)</t>
        </is>
      </c>
      <c r="B24" s="26" t="n"/>
    </row>
    <row r="25">
      <c r="A25" s="3" t="inlineStr">
        <is>
          <t>מחזור יומי ממוצע</t>
        </is>
      </c>
      <c r="B25" s="16" t="n"/>
    </row>
    <row r="26">
      <c r="A26" s="3" t="inlineStr">
        <is>
          <t>שווי קיצור יום גבייה אחד</t>
        </is>
      </c>
      <c r="B26" s="16" t="n"/>
    </row>
    <row r="27">
      <c r="A27" s="3" t="inlineStr">
        <is>
          <t>יעד קיצור DSO (ימים) — שנו את המספר</t>
        </is>
      </c>
      <c r="B27" s="27" t="n">
        <v>7</v>
      </c>
    </row>
    <row r="28">
      <c r="A28" s="3" t="inlineStr">
        <is>
          <t>מזומן שישתחרר מיד</t>
        </is>
      </c>
      <c r="B28" s="16" t="n"/>
    </row>
    <row r="29">
      <c r="A29" s="3" t="inlineStr">
        <is>
          <t>חיסכון ריבית שנתי בריבית 8%</t>
        </is>
      </c>
      <c r="B29" s="16" t="n"/>
    </row>
    <row r="32">
      <c r="A32" s="18" t="inlineStr">
        <is>
          <t>יתרת בעלים — הדגל של מודול ב׳</t>
        </is>
      </c>
    </row>
    <row r="33">
      <c r="A33" s="3" t="inlineStr">
        <is>
          <t>יתרת בעלים לסוף השנה</t>
        </is>
      </c>
      <c r="B33" s="23" t="n">
        <v>486000</v>
      </c>
    </row>
    <row r="34">
      <c r="A34" s="3" t="inlineStr">
        <is>
          <t>מועד החיוב לפי סעיף 3(ט1)</t>
        </is>
      </c>
      <c r="B34" s="6" t="inlineStr">
        <is>
          <t>תום השנה שלאחר שנת המשיכה</t>
        </is>
      </c>
    </row>
    <row r="36">
      <c r="A36" s="14" t="inlineStr">
        <is>
          <t>קשר לפרקטיקה — מודול ב׳: יתרת בעלים היא הון חוזר לכל דבר, רק שהיא ממומנת על ידי החברה ומייצרת חבות מס. אם ה-CCC גבוה וגם יתרת הבעלים גבוהה, החברה מממנת גם את הלקוחות וגם את הבעלים — וזו בדיוק הנקודה שבה נגמרת המסגרת בבנק.</t>
        </is>
      </c>
    </row>
    <row r="37">
      <c r="A37" s="14" t="inlineStr">
        <is>
          <t>שאלת בקרה: אם נקצר 7 ימי גבייה, האם זה מספיק כדי לסגור את יתרת הבעלים לפני מועד החיוב?</t>
        </is>
      </c>
    </row>
  </sheetData>
  <mergeCells count="5">
    <mergeCell ref="A1:J1"/>
    <mergeCell ref="A5:J5"/>
    <mergeCell ref="A3:J3"/>
    <mergeCell ref="A4:J4"/>
    <mergeCell ref="A2:J2"/>
  </mergeCells>
  <conditionalFormatting sqref="J8:J19">
    <cfRule type="colorScale" priority="1">
      <colorScale>
        <cfvo type="min"/>
        <cfvo type="percentile" val="50"/>
        <cfvo type="max"/>
        <color rgb="00C6EFCE"/>
        <color rgb="00FFEB9C"/>
        <color rgb="00FFC7CE"/>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1"/>
  <sheetViews>
    <sheetView rightToLeft="1" workbookViewId="0">
      <selection activeCell="A1" sqref="A1"/>
    </sheetView>
  </sheetViews>
  <sheetFormatPr baseColWidth="8" defaultRowHeight="15"/>
  <cols>
    <col width="26" customWidth="1" min="1" max="1"/>
    <col width="9"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3" customWidth="1" min="16" max="16"/>
    <col width="14" customWidth="1" min="17" max="17"/>
  </cols>
  <sheetData>
    <row r="1" ht="34" customHeight="1">
      <c r="A1" s="1" t="inlineStr">
        <is>
          <t>מעבדה 4 · תזרים מזומנים ל-13 שבועות</t>
        </is>
      </c>
    </row>
    <row r="2" ht="20" customHeight="1">
      <c r="A2" s="2" t="inlineStr">
        <is>
          <t>13 שבועות = רבעון. מספיק רחוק כדי להספיק לפעול, מספיק קרוב כדי שהמספרים יהיו אמיתיים.</t>
        </is>
      </c>
    </row>
    <row r="3">
      <c r="A3" s="14" t="inlineStr">
        <is>
          <t>הלוגיקה העסקית: דוח רווח והפסד אומר אם העסק רווחי. תזרים 13 שבועות אומר אם העסק ישרוד עד סוף הרבעון. אלה שתי שאלות שונות ולשתיהן יכולות להיות תשובות הפוכות.</t>
        </is>
      </c>
    </row>
    <row r="4">
      <c r="A4" s="14" t="inlineStr">
        <is>
          <t>דירוג ודאות 1 עד 5: 5 = כסף שכבר בדרך (הוראת קבע, שכר). 1 = הבטחה בטלפון. התרחיש הפסימי מכבה כל שורה שדירוגה נמוך — כך רואים מה קורה אם רק הוודאי מתממש.</t>
        </is>
      </c>
    </row>
    <row r="5">
      <c r="A5" s="14" t="inlineStr">
        <is>
          <t>עמוד השדרה של תשלומי המס: מע"מ, מקדמות מס הכנסה וניכויים 102 הם התשלומים שמפילים SME, כי הם גדולים, קבועים במועד, ולא ניתנים לדחייה. לכן הם שורות קבועות ולא ״הוצאות אחרות״.</t>
        </is>
      </c>
    </row>
    <row r="7">
      <c r="A7" s="3" t="inlineStr">
        <is>
          <t>תרחיש:</t>
        </is>
      </c>
      <c r="B7" s="20" t="inlineStr">
        <is>
          <t>בסיס</t>
        </is>
      </c>
      <c r="D7" s="14" t="inlineStr">
        <is>
          <t>אופטימי = 110% מהתקבולים · בסיס = 100% · פסימי = רק שורות בדירוג ודאות 4-5, ותקבולים ב-85%</t>
        </is>
      </c>
    </row>
    <row r="8">
      <c r="A8" s="3" t="inlineStr">
        <is>
          <t>יתרת פתיחה:</t>
        </is>
      </c>
      <c r="B8" s="28" t="n">
        <v>285000</v>
      </c>
    </row>
    <row r="9">
      <c r="A9" s="3" t="inlineStr">
        <is>
          <t>מסגרת אשראי:</t>
        </is>
      </c>
      <c r="B9" s="28" t="n">
        <v>600000</v>
      </c>
    </row>
    <row r="11" ht="30" customHeight="1">
      <c r="A11" s="8" t="inlineStr">
        <is>
          <t>שורה</t>
        </is>
      </c>
      <c r="B11" s="8" t="inlineStr">
        <is>
          <t>ודאות</t>
        </is>
      </c>
      <c r="C11" s="8" t="inlineStr">
        <is>
          <t>ש1
05/07</t>
        </is>
      </c>
      <c r="D11" s="8" t="inlineStr">
        <is>
          <t>ש2
12/07</t>
        </is>
      </c>
      <c r="E11" s="8" t="inlineStr">
        <is>
          <t>ש3
19/07</t>
        </is>
      </c>
      <c r="F11" s="8" t="inlineStr">
        <is>
          <t>ש4
26/07</t>
        </is>
      </c>
      <c r="G11" s="8" t="inlineStr">
        <is>
          <t>ש5
02/08</t>
        </is>
      </c>
      <c r="H11" s="8" t="inlineStr">
        <is>
          <t>ש6
09/08</t>
        </is>
      </c>
      <c r="I11" s="8" t="inlineStr">
        <is>
          <t>ש7
16/08</t>
        </is>
      </c>
      <c r="J11" s="8" t="inlineStr">
        <is>
          <t>ש8
23/08</t>
        </is>
      </c>
      <c r="K11" s="8" t="inlineStr">
        <is>
          <t>ש9
30/08</t>
        </is>
      </c>
      <c r="L11" s="8" t="inlineStr">
        <is>
          <t>ש10
06/09</t>
        </is>
      </c>
      <c r="M11" s="8" t="inlineStr">
        <is>
          <t>ש11
13/09</t>
        </is>
      </c>
      <c r="N11" s="8" t="inlineStr">
        <is>
          <t>ש12
20/09</t>
        </is>
      </c>
      <c r="O11" s="8" t="inlineStr">
        <is>
          <t>ש13
27/09</t>
        </is>
      </c>
      <c r="P11" s="8" t="inlineStr">
        <is>
          <t>סה"כ</t>
        </is>
      </c>
    </row>
    <row r="12">
      <c r="A12" s="6" t="inlineStr">
        <is>
          <t>תקבולים מלקוחות — חוזים קבועים</t>
        </is>
      </c>
      <c r="B12" s="29" t="n">
        <v>5</v>
      </c>
      <c r="C12" s="23" t="n">
        <v>180000</v>
      </c>
      <c r="D12" s="23" t="n">
        <v>180000</v>
      </c>
      <c r="E12" s="23" t="n">
        <v>180000</v>
      </c>
      <c r="F12" s="23" t="n">
        <v>180000</v>
      </c>
      <c r="G12" s="23" t="n">
        <v>180000</v>
      </c>
      <c r="H12" s="23" t="n">
        <v>180000</v>
      </c>
      <c r="I12" s="23" t="n">
        <v>180000</v>
      </c>
      <c r="J12" s="23" t="n">
        <v>180000</v>
      </c>
      <c r="K12" s="23" t="n">
        <v>180000</v>
      </c>
      <c r="L12" s="23" t="n">
        <v>180000</v>
      </c>
      <c r="M12" s="23" t="n">
        <v>180000</v>
      </c>
      <c r="N12" s="23" t="n">
        <v>180000</v>
      </c>
      <c r="O12" s="23" t="n">
        <v>180000</v>
      </c>
    </row>
    <row r="13">
      <c r="A13" s="6" t="inlineStr">
        <is>
          <t>תקבולים מלקוחות — הזמנות פתוחות</t>
        </is>
      </c>
      <c r="B13" s="29" t="n">
        <v>3</v>
      </c>
      <c r="C13" s="23" t="n">
        <v>120000</v>
      </c>
      <c r="D13" s="23" t="n">
        <v>90000</v>
      </c>
      <c r="E13" s="23" t="n">
        <v>140000</v>
      </c>
      <c r="F13" s="23" t="n">
        <v>110000</v>
      </c>
      <c r="G13" s="23" t="n">
        <v>95000</v>
      </c>
      <c r="H13" s="23" t="n">
        <v>130000</v>
      </c>
      <c r="I13" s="23" t="n">
        <v>105000</v>
      </c>
      <c r="J13" s="23" t="n">
        <v>88000</v>
      </c>
      <c r="K13" s="23" t="n">
        <v>145000</v>
      </c>
      <c r="L13" s="23" t="n">
        <v>120000</v>
      </c>
      <c r="M13" s="23" t="n">
        <v>99000</v>
      </c>
      <c r="N13" s="23" t="n">
        <v>132000</v>
      </c>
      <c r="O13" s="23" t="n">
        <v>118000</v>
      </c>
    </row>
    <row r="14">
      <c r="A14" s="6" t="inlineStr">
        <is>
          <t>תקבולים מלקוחות — צנרת מכירות</t>
        </is>
      </c>
      <c r="B14" s="29" t="n">
        <v>1</v>
      </c>
      <c r="C14" s="23" t="n">
        <v>0</v>
      </c>
      <c r="D14" s="23" t="n">
        <v>60000</v>
      </c>
      <c r="E14" s="23" t="n">
        <v>0</v>
      </c>
      <c r="F14" s="23" t="n">
        <v>75000</v>
      </c>
      <c r="G14" s="23" t="n">
        <v>0</v>
      </c>
      <c r="H14" s="23" t="n">
        <v>0</v>
      </c>
      <c r="I14" s="23" t="n">
        <v>90000</v>
      </c>
      <c r="J14" s="23" t="n">
        <v>0</v>
      </c>
      <c r="K14" s="23" t="n">
        <v>55000</v>
      </c>
      <c r="L14" s="23" t="n">
        <v>0</v>
      </c>
      <c r="M14" s="23" t="n">
        <v>70000</v>
      </c>
      <c r="N14" s="23" t="n">
        <v>0</v>
      </c>
      <c r="O14" s="23" t="n">
        <v>80000</v>
      </c>
    </row>
    <row r="15">
      <c r="A15" s="6" t="inlineStr">
        <is>
          <t>החזר מע"מ תשומות</t>
        </is>
      </c>
      <c r="B15" s="29" t="n">
        <v>4</v>
      </c>
      <c r="C15" s="23" t="n">
        <v>0</v>
      </c>
      <c r="D15" s="23" t="n">
        <v>0</v>
      </c>
      <c r="E15" s="23" t="n">
        <v>0</v>
      </c>
      <c r="F15" s="23" t="n">
        <v>0</v>
      </c>
      <c r="G15" s="23" t="n">
        <v>0</v>
      </c>
      <c r="H15" s="23" t="n">
        <v>0</v>
      </c>
      <c r="I15" s="23" t="n">
        <v>0</v>
      </c>
      <c r="J15" s="23" t="n">
        <v>0</v>
      </c>
      <c r="K15" s="23" t="n">
        <v>148000</v>
      </c>
      <c r="L15" s="23" t="n">
        <v>0</v>
      </c>
      <c r="M15" s="23" t="n">
        <v>0</v>
      </c>
      <c r="N15" s="23" t="n">
        <v>0</v>
      </c>
      <c r="O15" s="23" t="n">
        <v>0</v>
      </c>
    </row>
    <row r="16">
      <c r="A16" s="6" t="inlineStr">
        <is>
          <t>תשלום לספקי יבוא</t>
        </is>
      </c>
      <c r="B16" s="29" t="n">
        <v>5</v>
      </c>
      <c r="C16" s="23" t="n">
        <v>0</v>
      </c>
      <c r="D16" s="23" t="n">
        <v>-430000</v>
      </c>
      <c r="E16" s="23" t="n">
        <v>0</v>
      </c>
      <c r="F16" s="23" t="n">
        <v>0</v>
      </c>
      <c r="G16" s="23" t="n">
        <v>-415000</v>
      </c>
      <c r="H16" s="23" t="n">
        <v>0</v>
      </c>
      <c r="I16" s="23" t="n">
        <v>0</v>
      </c>
      <c r="J16" s="23" t="n">
        <v>-470000</v>
      </c>
      <c r="K16" s="23" t="n">
        <v>0</v>
      </c>
      <c r="L16" s="23" t="n">
        <v>0</v>
      </c>
      <c r="M16" s="23" t="n">
        <v>-402000</v>
      </c>
      <c r="N16" s="23" t="n">
        <v>0</v>
      </c>
      <c r="O16" s="23" t="n">
        <v>0</v>
      </c>
    </row>
    <row r="17">
      <c r="A17" s="6" t="inlineStr">
        <is>
          <t>מכס ושחרור מטענים</t>
        </is>
      </c>
      <c r="B17" s="29" t="n">
        <v>5</v>
      </c>
      <c r="C17" s="23" t="n">
        <v>0</v>
      </c>
      <c r="D17" s="23" t="n">
        <v>-86000</v>
      </c>
      <c r="E17" s="23" t="n">
        <v>0</v>
      </c>
      <c r="F17" s="23" t="n">
        <v>0</v>
      </c>
      <c r="G17" s="23" t="n">
        <v>-83000</v>
      </c>
      <c r="H17" s="23" t="n">
        <v>0</v>
      </c>
      <c r="I17" s="23" t="n">
        <v>0</v>
      </c>
      <c r="J17" s="23" t="n">
        <v>-94000</v>
      </c>
      <c r="K17" s="23" t="n">
        <v>0</v>
      </c>
      <c r="L17" s="23" t="n">
        <v>0</v>
      </c>
      <c r="M17" s="23" t="n">
        <v>-79000</v>
      </c>
      <c r="N17" s="23" t="n">
        <v>0</v>
      </c>
      <c r="O17" s="23" t="n">
        <v>0</v>
      </c>
    </row>
    <row r="18">
      <c r="A18" s="6" t="inlineStr">
        <is>
          <t>רכישת מלאי לעונת סוף השנה</t>
        </is>
      </c>
      <c r="B18" s="29" t="n">
        <v>4</v>
      </c>
      <c r="C18" s="23" t="n">
        <v>0</v>
      </c>
      <c r="D18" s="23" t="n">
        <v>0</v>
      </c>
      <c r="E18" s="23" t="n">
        <v>0</v>
      </c>
      <c r="F18" s="23" t="n">
        <v>0</v>
      </c>
      <c r="G18" s="23" t="n">
        <v>0</v>
      </c>
      <c r="H18" s="23" t="n">
        <v>0</v>
      </c>
      <c r="I18" s="23" t="n">
        <v>-225000</v>
      </c>
      <c r="J18" s="23" t="n">
        <v>0</v>
      </c>
      <c r="K18" s="23" t="n">
        <v>0</v>
      </c>
      <c r="L18" s="23" t="n">
        <v>0</v>
      </c>
      <c r="M18" s="23" t="n">
        <v>0</v>
      </c>
      <c r="N18" s="23" t="n">
        <v>0</v>
      </c>
      <c r="O18" s="23" t="n">
        <v>0</v>
      </c>
    </row>
    <row r="19">
      <c r="A19" s="6" t="inlineStr">
        <is>
          <t>שכר ונלוות</t>
        </is>
      </c>
      <c r="B19" s="29" t="n">
        <v>5</v>
      </c>
      <c r="C19" s="23" t="n">
        <v>0</v>
      </c>
      <c r="D19" s="23" t="n">
        <v>0</v>
      </c>
      <c r="E19" s="23" t="n">
        <v>0</v>
      </c>
      <c r="F19" s="23" t="n">
        <v>-168000</v>
      </c>
      <c r="G19" s="23" t="n">
        <v>0</v>
      </c>
      <c r="H19" s="23" t="n">
        <v>0</v>
      </c>
      <c r="I19" s="23" t="n">
        <v>0</v>
      </c>
      <c r="J19" s="23" t="n">
        <v>-171000</v>
      </c>
      <c r="K19" s="23" t="n">
        <v>0</v>
      </c>
      <c r="L19" s="23" t="n">
        <v>0</v>
      </c>
      <c r="M19" s="23" t="n">
        <v>0</v>
      </c>
      <c r="N19" s="23" t="n">
        <v>-169000</v>
      </c>
      <c r="O19" s="23" t="n">
        <v>0</v>
      </c>
    </row>
    <row r="20">
      <c r="A20" s="6" t="inlineStr">
        <is>
          <t>ניכויים — טופס 102</t>
        </is>
      </c>
      <c r="B20" s="29" t="n">
        <v>5</v>
      </c>
      <c r="C20" s="23" t="n">
        <v>0</v>
      </c>
      <c r="D20" s="23" t="n">
        <v>0</v>
      </c>
      <c r="E20" s="23" t="n">
        <v>0</v>
      </c>
      <c r="F20" s="23" t="n">
        <v>0</v>
      </c>
      <c r="G20" s="23" t="n">
        <v>-41000</v>
      </c>
      <c r="H20" s="23" t="n">
        <v>0</v>
      </c>
      <c r="I20" s="23" t="n">
        <v>0</v>
      </c>
      <c r="J20" s="23" t="n">
        <v>0</v>
      </c>
      <c r="K20" s="23" t="n">
        <v>-42000</v>
      </c>
      <c r="L20" s="23" t="n">
        <v>0</v>
      </c>
      <c r="M20" s="23" t="n">
        <v>0</v>
      </c>
      <c r="N20" s="23" t="n">
        <v>0</v>
      </c>
      <c r="O20" s="23" t="n">
        <v>-41500</v>
      </c>
    </row>
    <row r="21">
      <c r="A21" s="6" t="inlineStr">
        <is>
          <t>ביטוח לאומי</t>
        </is>
      </c>
      <c r="B21" s="29" t="n">
        <v>5</v>
      </c>
      <c r="C21" s="23" t="n">
        <v>0</v>
      </c>
      <c r="D21" s="23" t="n">
        <v>0</v>
      </c>
      <c r="E21" s="23" t="n">
        <v>0</v>
      </c>
      <c r="F21" s="23" t="n">
        <v>0</v>
      </c>
      <c r="G21" s="23" t="n">
        <v>-23000</v>
      </c>
      <c r="H21" s="23" t="n">
        <v>0</v>
      </c>
      <c r="I21" s="23" t="n">
        <v>0</v>
      </c>
      <c r="J21" s="23" t="n">
        <v>0</v>
      </c>
      <c r="K21" s="23" t="n">
        <v>-23500</v>
      </c>
      <c r="L21" s="23" t="n">
        <v>0</v>
      </c>
      <c r="M21" s="23" t="n">
        <v>0</v>
      </c>
      <c r="N21" s="23" t="n">
        <v>0</v>
      </c>
      <c r="O21" s="23" t="n">
        <v>-23200</v>
      </c>
    </row>
    <row r="22">
      <c r="A22" s="6" t="inlineStr">
        <is>
          <t>מע"מ — תשלום דו-חודשי</t>
        </is>
      </c>
      <c r="B22" s="29" t="n">
        <v>5</v>
      </c>
      <c r="C22" s="23" t="n">
        <v>0</v>
      </c>
      <c r="D22" s="23" t="n">
        <v>0</v>
      </c>
      <c r="E22" s="23" t="n">
        <v>0</v>
      </c>
      <c r="F22" s="23" t="n">
        <v>0</v>
      </c>
      <c r="G22" s="23" t="n">
        <v>0</v>
      </c>
      <c r="H22" s="23" t="n">
        <v>-214000</v>
      </c>
      <c r="I22" s="23" t="n">
        <v>0</v>
      </c>
      <c r="J22" s="23" t="n">
        <v>0</v>
      </c>
      <c r="K22" s="23" t="n">
        <v>0</v>
      </c>
      <c r="L22" s="23" t="n">
        <v>0</v>
      </c>
      <c r="M22" s="23" t="n">
        <v>0</v>
      </c>
      <c r="N22" s="23" t="n">
        <v>0</v>
      </c>
      <c r="O22" s="23" t="n">
        <v>-226000</v>
      </c>
    </row>
    <row r="23">
      <c r="A23" s="6" t="inlineStr">
        <is>
          <t>מקדמות מס הכנסה</t>
        </is>
      </c>
      <c r="B23" s="29" t="n">
        <v>5</v>
      </c>
      <c r="C23" s="23" t="n">
        <v>0</v>
      </c>
      <c r="D23" s="23" t="n">
        <v>0</v>
      </c>
      <c r="E23" s="23" t="n">
        <v>0</v>
      </c>
      <c r="F23" s="23" t="n">
        <v>0</v>
      </c>
      <c r="G23" s="23" t="n">
        <v>0</v>
      </c>
      <c r="H23" s="23" t="n">
        <v>-78000</v>
      </c>
      <c r="I23" s="23" t="n">
        <v>0</v>
      </c>
      <c r="J23" s="23" t="n">
        <v>0</v>
      </c>
      <c r="K23" s="23" t="n">
        <v>0</v>
      </c>
      <c r="L23" s="23" t="n">
        <v>0</v>
      </c>
      <c r="M23" s="23" t="n">
        <v>0</v>
      </c>
      <c r="N23" s="23" t="n">
        <v>0</v>
      </c>
      <c r="O23" s="23" t="n">
        <v>-78000</v>
      </c>
    </row>
    <row r="24">
      <c r="A24" s="6" t="inlineStr">
        <is>
          <t>שכר דירה ואחזקה</t>
        </is>
      </c>
      <c r="B24" s="29" t="n">
        <v>5</v>
      </c>
      <c r="C24" s="23" t="n">
        <v>0</v>
      </c>
      <c r="D24" s="23" t="n">
        <v>-33000</v>
      </c>
      <c r="E24" s="23" t="n">
        <v>0</v>
      </c>
      <c r="F24" s="23" t="n">
        <v>0</v>
      </c>
      <c r="G24" s="23" t="n">
        <v>0</v>
      </c>
      <c r="H24" s="23" t="n">
        <v>-33000</v>
      </c>
      <c r="I24" s="23" t="n">
        <v>0</v>
      </c>
      <c r="J24" s="23" t="n">
        <v>0</v>
      </c>
      <c r="K24" s="23" t="n">
        <v>0</v>
      </c>
      <c r="L24" s="23" t="n">
        <v>-33000</v>
      </c>
      <c r="M24" s="23" t="n">
        <v>0</v>
      </c>
      <c r="N24" s="23" t="n">
        <v>0</v>
      </c>
      <c r="O24" s="23" t="n">
        <v>0</v>
      </c>
    </row>
    <row r="25">
      <c r="A25" s="6" t="inlineStr">
        <is>
          <t>רכב — ליסינג ודלק</t>
        </is>
      </c>
      <c r="B25" s="29" t="n">
        <v>4</v>
      </c>
      <c r="C25" s="23" t="n">
        <v>0</v>
      </c>
      <c r="D25" s="23" t="n">
        <v>0</v>
      </c>
      <c r="E25" s="23" t="n">
        <v>-18000</v>
      </c>
      <c r="F25" s="23" t="n">
        <v>0</v>
      </c>
      <c r="G25" s="23" t="n">
        <v>0</v>
      </c>
      <c r="H25" s="23" t="n">
        <v>0</v>
      </c>
      <c r="I25" s="23" t="n">
        <v>-18000</v>
      </c>
      <c r="J25" s="23" t="n">
        <v>0</v>
      </c>
      <c r="K25" s="23" t="n">
        <v>0</v>
      </c>
      <c r="L25" s="23" t="n">
        <v>0</v>
      </c>
      <c r="M25" s="23" t="n">
        <v>-18000</v>
      </c>
      <c r="N25" s="23" t="n">
        <v>0</v>
      </c>
      <c r="O25" s="23" t="n">
        <v>0</v>
      </c>
    </row>
    <row r="26">
      <c r="A26" s="6" t="inlineStr">
        <is>
          <t>פרסום ושיווק</t>
        </is>
      </c>
      <c r="B26" s="29" t="n">
        <v>3</v>
      </c>
      <c r="C26" s="23" t="n">
        <v>-28000</v>
      </c>
      <c r="D26" s="23" t="n">
        <v>0</v>
      </c>
      <c r="E26" s="23" t="n">
        <v>0</v>
      </c>
      <c r="F26" s="23" t="n">
        <v>-28000</v>
      </c>
      <c r="G26" s="23" t="n">
        <v>0</v>
      </c>
      <c r="H26" s="23" t="n">
        <v>0</v>
      </c>
      <c r="I26" s="23" t="n">
        <v>-28000</v>
      </c>
      <c r="J26" s="23" t="n">
        <v>0</v>
      </c>
      <c r="K26" s="23" t="n">
        <v>0</v>
      </c>
      <c r="L26" s="23" t="n">
        <v>-28000</v>
      </c>
      <c r="M26" s="23" t="n">
        <v>0</v>
      </c>
      <c r="N26" s="23" t="n">
        <v>0</v>
      </c>
      <c r="O26" s="23" t="n">
        <v>-28000</v>
      </c>
    </row>
    <row r="27">
      <c r="A27" s="6" t="inlineStr">
        <is>
          <t>הוצאות משרד ואחר</t>
        </is>
      </c>
      <c r="B27" s="29" t="n">
        <v>3</v>
      </c>
      <c r="C27" s="23" t="n">
        <v>-9000</v>
      </c>
      <c r="D27" s="23" t="n">
        <v>-9000</v>
      </c>
      <c r="E27" s="23" t="n">
        <v>-9000</v>
      </c>
      <c r="F27" s="23" t="n">
        <v>-9000</v>
      </c>
      <c r="G27" s="23" t="n">
        <v>-9000</v>
      </c>
      <c r="H27" s="23" t="n">
        <v>-9000</v>
      </c>
      <c r="I27" s="23" t="n">
        <v>-9000</v>
      </c>
      <c r="J27" s="23" t="n">
        <v>-9000</v>
      </c>
      <c r="K27" s="23" t="n">
        <v>-9000</v>
      </c>
      <c r="L27" s="23" t="n">
        <v>-9000</v>
      </c>
      <c r="M27" s="23" t="n">
        <v>-9000</v>
      </c>
      <c r="N27" s="23" t="n">
        <v>-9000</v>
      </c>
      <c r="O27" s="23" t="n">
        <v>-9000</v>
      </c>
    </row>
    <row r="28">
      <c r="A28" s="6" t="inlineStr">
        <is>
          <t>החזר הלוואה בנקאית</t>
        </is>
      </c>
      <c r="B28" s="29" t="n">
        <v>5</v>
      </c>
      <c r="C28" s="23" t="n">
        <v>0</v>
      </c>
      <c r="D28" s="23" t="n">
        <v>0</v>
      </c>
      <c r="E28" s="23" t="n">
        <v>0</v>
      </c>
      <c r="F28" s="23" t="n">
        <v>-46000</v>
      </c>
      <c r="G28" s="23" t="n">
        <v>0</v>
      </c>
      <c r="H28" s="23" t="n">
        <v>0</v>
      </c>
      <c r="I28" s="23" t="n">
        <v>0</v>
      </c>
      <c r="J28" s="23" t="n">
        <v>-46000</v>
      </c>
      <c r="K28" s="23" t="n">
        <v>0</v>
      </c>
      <c r="L28" s="23" t="n">
        <v>0</v>
      </c>
      <c r="M28" s="23" t="n">
        <v>0</v>
      </c>
      <c r="N28" s="23" t="n">
        <v>-46000</v>
      </c>
      <c r="O28" s="23" t="n">
        <v>0</v>
      </c>
    </row>
    <row r="29">
      <c r="A29" s="6" t="inlineStr">
        <is>
          <t>משיכת בעלים</t>
        </is>
      </c>
      <c r="B29" s="29" t="n">
        <v>2</v>
      </c>
      <c r="C29" s="23" t="n">
        <v>0</v>
      </c>
      <c r="D29" s="23" t="n">
        <v>0</v>
      </c>
      <c r="E29" s="23" t="n">
        <v>0</v>
      </c>
      <c r="F29" s="23" t="n">
        <v>-35000</v>
      </c>
      <c r="G29" s="23" t="n">
        <v>0</v>
      </c>
      <c r="H29" s="23" t="n">
        <v>0</v>
      </c>
      <c r="I29" s="23" t="n">
        <v>0</v>
      </c>
      <c r="J29" s="23" t="n">
        <v>-35000</v>
      </c>
      <c r="K29" s="23" t="n">
        <v>0</v>
      </c>
      <c r="L29" s="23" t="n">
        <v>0</v>
      </c>
      <c r="M29" s="23" t="n">
        <v>0</v>
      </c>
      <c r="N29" s="23" t="n">
        <v>-35000</v>
      </c>
      <c r="O29" s="23" t="n">
        <v>0</v>
      </c>
    </row>
    <row r="30">
      <c r="A30" s="30" t="inlineStr">
        <is>
          <t>סה"כ תקבולים בשבוע</t>
        </is>
      </c>
      <c r="C30" s="16" t="n"/>
      <c r="D30" s="16" t="n"/>
      <c r="E30" s="16" t="n"/>
      <c r="F30" s="16" t="n"/>
      <c r="G30" s="16" t="n"/>
      <c r="H30" s="16" t="n"/>
      <c r="I30" s="16" t="n"/>
      <c r="J30" s="16" t="n"/>
      <c r="K30" s="16" t="n"/>
      <c r="L30" s="16" t="n"/>
      <c r="M30" s="16" t="n"/>
      <c r="N30" s="16" t="n"/>
      <c r="O30" s="16" t="n"/>
      <c r="P30" s="16" t="n"/>
    </row>
    <row r="31">
      <c r="A31" s="30" t="inlineStr">
        <is>
          <t>סה"כ תשלומים בשבוע</t>
        </is>
      </c>
      <c r="C31" s="16" t="n"/>
      <c r="D31" s="16" t="n"/>
      <c r="E31" s="16" t="n"/>
      <c r="F31" s="16" t="n"/>
      <c r="G31" s="16" t="n"/>
      <c r="H31" s="16" t="n"/>
      <c r="I31" s="16" t="n"/>
      <c r="J31" s="16" t="n"/>
      <c r="K31" s="16" t="n"/>
      <c r="L31" s="16" t="n"/>
      <c r="M31" s="16" t="n"/>
      <c r="N31" s="16" t="n"/>
      <c r="O31" s="16" t="n"/>
      <c r="P31" s="16" t="n"/>
    </row>
    <row r="32">
      <c r="A32" s="30" t="inlineStr">
        <is>
          <t>תזרים נטו לשבוע</t>
        </is>
      </c>
      <c r="C32" s="16" t="n"/>
      <c r="D32" s="16" t="n"/>
      <c r="E32" s="16" t="n"/>
      <c r="F32" s="16" t="n"/>
      <c r="G32" s="16" t="n"/>
      <c r="H32" s="16" t="n"/>
      <c r="I32" s="16" t="n"/>
      <c r="J32" s="16" t="n"/>
      <c r="K32" s="16" t="n"/>
      <c r="L32" s="16" t="n"/>
      <c r="M32" s="16" t="n"/>
      <c r="N32" s="16" t="n"/>
      <c r="O32" s="16" t="n"/>
      <c r="P32" s="16" t="n"/>
    </row>
    <row r="33">
      <c r="A33" s="30" t="inlineStr">
        <is>
          <t>יתרת פתיחה שבועית</t>
        </is>
      </c>
      <c r="C33" s="16" t="n"/>
      <c r="D33" s="16" t="n"/>
      <c r="E33" s="16" t="n"/>
      <c r="F33" s="16" t="n"/>
      <c r="G33" s="16" t="n"/>
      <c r="H33" s="16" t="n"/>
      <c r="I33" s="16" t="n"/>
      <c r="J33" s="16" t="n"/>
      <c r="K33" s="16" t="n"/>
      <c r="L33" s="16" t="n"/>
      <c r="M33" s="16" t="n"/>
      <c r="N33" s="16" t="n"/>
      <c r="O33" s="16" t="n"/>
      <c r="P33" s="16" t="n"/>
    </row>
    <row r="34">
      <c r="A34" s="30" t="inlineStr">
        <is>
          <t>יתרת סגירה שבועית</t>
        </is>
      </c>
      <c r="C34" s="16" t="n"/>
      <c r="D34" s="16" t="n"/>
      <c r="E34" s="16" t="n"/>
      <c r="F34" s="16" t="n"/>
      <c r="G34" s="16" t="n"/>
      <c r="H34" s="16" t="n"/>
      <c r="I34" s="16" t="n"/>
      <c r="J34" s="16" t="n"/>
      <c r="K34" s="16" t="n"/>
      <c r="L34" s="16" t="n"/>
      <c r="M34" s="16" t="n"/>
      <c r="N34" s="16" t="n"/>
      <c r="O34" s="16" t="n"/>
      <c r="P34" s="16" t="n"/>
    </row>
    <row r="35">
      <c r="A35" s="30" t="inlineStr">
        <is>
          <t>ניצול מסגרת</t>
        </is>
      </c>
      <c r="C35" s="16" t="n"/>
      <c r="D35" s="16" t="n"/>
      <c r="E35" s="16" t="n"/>
      <c r="F35" s="16" t="n"/>
      <c r="G35" s="16" t="n"/>
      <c r="H35" s="16" t="n"/>
      <c r="I35" s="16" t="n"/>
      <c r="J35" s="16" t="n"/>
      <c r="K35" s="16" t="n"/>
      <c r="L35" s="16" t="n"/>
      <c r="M35" s="16" t="n"/>
      <c r="N35" s="16" t="n"/>
      <c r="O35" s="16" t="n"/>
      <c r="P35" s="16" t="n"/>
    </row>
    <row r="36">
      <c r="A36" s="30" t="inlineStr">
        <is>
          <t>סטטוס</t>
        </is>
      </c>
      <c r="C36" s="17" t="n"/>
      <c r="D36" s="17" t="n"/>
      <c r="E36" s="17" t="n"/>
      <c r="F36" s="17" t="n"/>
      <c r="G36" s="17" t="n"/>
      <c r="H36" s="17" t="n"/>
      <c r="I36" s="17" t="n"/>
      <c r="J36" s="17" t="n"/>
      <c r="K36" s="17" t="n"/>
      <c r="L36" s="17" t="n"/>
      <c r="M36" s="17" t="n"/>
      <c r="N36" s="17" t="n"/>
      <c r="O36" s="17" t="n"/>
      <c r="P36" s="16" t="n"/>
    </row>
    <row r="38">
      <c r="A38" s="14" t="inlineStr">
        <is>
          <t>קשר לפרקטיקה — מודול א׳: שימו לב שבשבוע 6 נופלים באותו שבוע גם מע"מ וגם מקדמות. זה לא מקרה, זה הלוח החוקי. תזרים שלא מכיל את לוח תשלומי המס אינו תזרים אלא משאלה.</t>
        </is>
      </c>
    </row>
    <row r="39">
      <c r="A39" s="14" t="inlineStr">
        <is>
          <t>קשר לפרקטיקה — מודול ב׳: שורת ״משיכת בעלים״ בדירוג ודאות 2 היא הידית הכי מהירה שיש. דחיית משיכה של שני חודשים היא לרוב ההבדל בין חריגה למסגרת. ובמקביל היא משנה את חשיפת סעיף 3(ט1).</t>
        </is>
      </c>
    </row>
    <row r="40">
      <c r="A40" s="14" t="inlineStr">
        <is>
          <t>יישומים נוספים: אותה תבנית משמשת להצגת יכולת החזר מול הבנק, לתכנון עיתוי רכישת ציוד לצורך פחת, ולהחלטה אם לחלק דיבידנד השנה או בשנה הבאה.</t>
        </is>
      </c>
    </row>
    <row r="41">
      <c r="A41" s="14" t="inlineStr">
        <is>
          <t>תרגיל: עברו לתרחיש ״פסימי״. באיזה שבוע היתרה נשברת? מהי הפעולה הזולה ביותר שמונעת את זה?</t>
        </is>
      </c>
    </row>
  </sheetData>
  <mergeCells count="5">
    <mergeCell ref="A3:Q3"/>
    <mergeCell ref="A4:Q4"/>
    <mergeCell ref="A2:Q2"/>
    <mergeCell ref="A1:Q1"/>
    <mergeCell ref="A5:Q5"/>
  </mergeCells>
  <conditionalFormatting sqref="C34">
    <cfRule type="cellIs" priority="1" operator="lessThan" dxfId="0">
      <formula>0</formula>
    </cfRule>
  </conditionalFormatting>
  <conditionalFormatting sqref="D34">
    <cfRule type="cellIs" priority="2" operator="lessThan" dxfId="0">
      <formula>0</formula>
    </cfRule>
  </conditionalFormatting>
  <conditionalFormatting sqref="E34">
    <cfRule type="cellIs" priority="3" operator="lessThan" dxfId="0">
      <formula>0</formula>
    </cfRule>
  </conditionalFormatting>
  <conditionalFormatting sqref="F34">
    <cfRule type="cellIs" priority="4" operator="lessThan" dxfId="0">
      <formula>0</formula>
    </cfRule>
  </conditionalFormatting>
  <conditionalFormatting sqref="G34">
    <cfRule type="cellIs" priority="5" operator="lessThan" dxfId="0">
      <formula>0</formula>
    </cfRule>
  </conditionalFormatting>
  <conditionalFormatting sqref="H34">
    <cfRule type="cellIs" priority="6" operator="lessThan" dxfId="0">
      <formula>0</formula>
    </cfRule>
  </conditionalFormatting>
  <conditionalFormatting sqref="I34">
    <cfRule type="cellIs" priority="7" operator="lessThan" dxfId="0">
      <formula>0</formula>
    </cfRule>
  </conditionalFormatting>
  <conditionalFormatting sqref="J34">
    <cfRule type="cellIs" priority="8" operator="lessThan" dxfId="0">
      <formula>0</formula>
    </cfRule>
  </conditionalFormatting>
  <conditionalFormatting sqref="K34">
    <cfRule type="cellIs" priority="9" operator="lessThan" dxfId="0">
      <formula>0</formula>
    </cfRule>
  </conditionalFormatting>
  <conditionalFormatting sqref="L34">
    <cfRule type="cellIs" priority="10" operator="lessThan" dxfId="0">
      <formula>0</formula>
    </cfRule>
  </conditionalFormatting>
  <conditionalFormatting sqref="M34">
    <cfRule type="cellIs" priority="11" operator="lessThan" dxfId="0">
      <formula>0</formula>
    </cfRule>
  </conditionalFormatting>
  <conditionalFormatting sqref="N34">
    <cfRule type="cellIs" priority="12" operator="lessThan" dxfId="0">
      <formula>0</formula>
    </cfRule>
  </conditionalFormatting>
  <conditionalFormatting sqref="O34">
    <cfRule type="cellIs" priority="13" operator="lessThan" dxfId="0">
      <formula>0</formula>
    </cfRule>
  </conditionalFormatting>
  <dataValidations count="1">
    <dataValidation sqref="B7" showDropDown="0" showInputMessage="0" showErrorMessage="0" allowBlank="0" type="list">
      <formula1>"אופטימי,בסיס,פסימי"</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7"/>
  <sheetViews>
    <sheetView rightToLeft="1" workbookViewId="0">
      <selection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4" customWidth="1" min="14" max="14"/>
  </cols>
  <sheetData>
    <row r="1" ht="34" customHeight="1">
      <c r="A1" s="1" t="inlineStr">
        <is>
          <t>מעבדה 5 · תחזית מתגלגלת 3+9 / 4+8</t>
        </is>
      </c>
    </row>
    <row r="2" ht="20" customHeight="1">
      <c r="A2" s="2" t="inlineStr">
        <is>
          <t>תקציב שנתי קבוע מתיישן אחרי רבעון. תחזית מתגלגלת מחליפה תקציב באקטואל ככל שהשנה מתקדמת.</t>
        </is>
      </c>
    </row>
    <row r="3">
      <c r="A3" s="14" t="inlineStr">
        <is>
          <t>הלוגיקה העסקית: 3+9 פירושו שלושה חודשי ביצוע בפועל ותשעה חודשי תחזית. בסוף כל רבעון מחליפים עוד שלושה. כך התחזית תמיד מבוססת על מה שקרה, לא על מה שקיווינו בדצמבר.</t>
        </is>
      </c>
    </row>
    <row r="4">
      <c r="A4" s="14" t="inlineStr">
        <is>
          <t>קו הבסיס הנעול נשאר לצד התחזית, כי בלי קו בסיס אי אפשר לדעת אם השתפרנו או רק הורדנו ציפיות. זו הטעות הנפוצה ביותר בתחזית מתגלגלת.</t>
        </is>
      </c>
    </row>
    <row r="5">
      <c r="A5" s="14" t="inlineStr">
        <is>
          <t>יישום נוסף: אותו מנגנון משמש לתחזית גיוס עובדים, לתחזית מלאי לקראת עונה, ולהצגת תחזית מעודכנת למשקיע או לבנק באמצע שנה.</t>
        </is>
      </c>
    </row>
    <row r="7">
      <c r="A7" s="3" t="inlineStr">
        <is>
          <t>חודשי אקטואל שנסגרו:</t>
        </is>
      </c>
      <c r="C7" s="31" t="n">
        <v>6</v>
      </c>
      <c r="E7" s="14" t="inlineStr">
        <is>
          <t>שנו ל-3 בשביל 3+9, ל-4 בשביל 4+8, ל-6 בשביל חצי שנה. כל הלוח מתעדכן.</t>
        </is>
      </c>
    </row>
    <row r="8">
      <c r="A8" s="3" t="inlineStr">
        <is>
          <t>מקדם תיקון ליתרת השנה:</t>
        </is>
      </c>
      <c r="C8" s="32" t="n">
        <v>1</v>
      </c>
      <c r="E8" s="14" t="inlineStr">
        <is>
          <t>1.00 = ממשיכים לפי התקציב. 0.95 = מורידים 5% לחודשים שנותרו. זו ההחלטה הניהולית היחידה במודל.</t>
        </is>
      </c>
    </row>
    <row r="10" ht="30" customHeight="1">
      <c r="A10" s="8" t="inlineStr">
        <is>
          <t>שורה</t>
        </is>
      </c>
      <c r="B10" s="8" t="inlineStr">
        <is>
          <t>ינואר</t>
        </is>
      </c>
      <c r="C10" s="8" t="inlineStr">
        <is>
          <t>פברואר</t>
        </is>
      </c>
      <c r="D10" s="8" t="inlineStr">
        <is>
          <t>מרץ</t>
        </is>
      </c>
      <c r="E10" s="8" t="inlineStr">
        <is>
          <t>אפריל</t>
        </is>
      </c>
      <c r="F10" s="8" t="inlineStr">
        <is>
          <t>מאי</t>
        </is>
      </c>
      <c r="G10" s="8" t="inlineStr">
        <is>
          <t>יוני</t>
        </is>
      </c>
      <c r="H10" s="8" t="inlineStr">
        <is>
          <t>יולי</t>
        </is>
      </c>
      <c r="I10" s="8" t="inlineStr">
        <is>
          <t>אוגוסט</t>
        </is>
      </c>
      <c r="J10" s="8" t="inlineStr">
        <is>
          <t>ספטמבר</t>
        </is>
      </c>
      <c r="K10" s="8" t="inlineStr">
        <is>
          <t>אוקטובר</t>
        </is>
      </c>
      <c r="L10" s="8" t="inlineStr">
        <is>
          <t>נובמבר</t>
        </is>
      </c>
      <c r="M10" s="8" t="inlineStr">
        <is>
          <t>דצמבר</t>
        </is>
      </c>
      <c r="N10" s="8" t="inlineStr">
        <is>
          <t>סה"כ שנה</t>
        </is>
      </c>
    </row>
    <row r="11">
      <c r="A11" s="33" t="inlineStr">
        <is>
          <t>תקציב מקורי (נעול)</t>
        </is>
      </c>
      <c r="B11" s="16" t="n"/>
      <c r="C11" s="16" t="n"/>
      <c r="D11" s="16" t="n"/>
      <c r="E11" s="16" t="n"/>
      <c r="F11" s="16" t="n"/>
      <c r="G11" s="16" t="n"/>
      <c r="H11" s="16" t="n"/>
      <c r="I11" s="16" t="n"/>
      <c r="J11" s="16" t="n"/>
      <c r="K11" s="16" t="n"/>
      <c r="L11" s="16" t="n"/>
      <c r="M11" s="16" t="n"/>
      <c r="N11" s="16" t="n"/>
    </row>
    <row r="12">
      <c r="A12" s="33" t="inlineStr">
        <is>
          <t>ביצוע בפועל</t>
        </is>
      </c>
      <c r="B12" s="16" t="n"/>
      <c r="C12" s="16" t="n"/>
      <c r="D12" s="16" t="n"/>
      <c r="E12" s="16" t="n"/>
      <c r="F12" s="16" t="n"/>
      <c r="G12" s="16" t="n"/>
      <c r="H12" s="16" t="n"/>
      <c r="I12" s="16" t="n"/>
      <c r="J12" s="16" t="n"/>
      <c r="K12" s="16" t="n"/>
      <c r="L12" s="16" t="n"/>
      <c r="M12" s="16" t="n"/>
      <c r="N12" s="16" t="n"/>
    </row>
    <row r="13">
      <c r="A13" s="30" t="inlineStr">
        <is>
          <t>תחזית מתגלגלת</t>
        </is>
      </c>
      <c r="B13" s="16" t="n"/>
      <c r="C13" s="16" t="n"/>
      <c r="D13" s="16" t="n"/>
      <c r="E13" s="16" t="n"/>
      <c r="F13" s="16" t="n"/>
      <c r="G13" s="16" t="n"/>
      <c r="H13" s="16" t="n"/>
      <c r="I13" s="16" t="n"/>
      <c r="J13" s="16" t="n"/>
      <c r="K13" s="16" t="n"/>
      <c r="L13" s="16" t="n"/>
      <c r="M13" s="16" t="n"/>
      <c r="N13" s="16" t="n"/>
    </row>
    <row r="14">
      <c r="A14" s="30" t="inlineStr">
        <is>
          <t>פער תחזית מול תקציב</t>
        </is>
      </c>
      <c r="B14" s="16" t="n"/>
      <c r="C14" s="16" t="n"/>
      <c r="D14" s="16" t="n"/>
      <c r="E14" s="16" t="n"/>
      <c r="F14" s="16" t="n"/>
      <c r="G14" s="16" t="n"/>
      <c r="H14" s="16" t="n"/>
      <c r="I14" s="16" t="n"/>
      <c r="J14" s="16" t="n"/>
      <c r="K14" s="16" t="n"/>
      <c r="L14" s="16" t="n"/>
      <c r="M14" s="16" t="n"/>
      <c r="N14" s="16" t="n"/>
    </row>
    <row r="15">
      <c r="A15" s="30" t="inlineStr">
        <is>
          <t>% פער</t>
        </is>
      </c>
      <c r="B15" s="21" t="n"/>
      <c r="C15" s="21" t="n"/>
      <c r="D15" s="21" t="n"/>
      <c r="E15" s="21" t="n"/>
      <c r="F15" s="21" t="n"/>
      <c r="G15" s="21" t="n"/>
      <c r="H15" s="21" t="n"/>
      <c r="I15" s="21" t="n"/>
      <c r="J15" s="21" t="n"/>
      <c r="K15" s="21" t="n"/>
      <c r="L15" s="21" t="n"/>
      <c r="M15" s="21" t="n"/>
      <c r="N15" s="21" t="n"/>
    </row>
    <row r="18">
      <c r="A18" s="18" t="inlineStr">
        <is>
          <t>מה זה אומר לניהול</t>
        </is>
      </c>
    </row>
    <row r="19">
      <c r="A19" s="3" t="inlineStr">
        <is>
          <t>תחזית שנתית מעודכנת</t>
        </is>
      </c>
      <c r="C19" s="16" t="n"/>
    </row>
    <row r="20">
      <c r="A20" s="3" t="inlineStr">
        <is>
          <t>קו בסיס שנתי מקורי</t>
        </is>
      </c>
      <c r="C20" s="16" t="n"/>
    </row>
    <row r="21">
      <c r="A21" s="3" t="inlineStr">
        <is>
          <t>פער שנתי צפוי</t>
        </is>
      </c>
      <c r="C21" s="16" t="n"/>
    </row>
    <row r="22">
      <c r="A22" s="3" t="inlineStr">
        <is>
          <t>האם צפויה עמידה ביעד</t>
        </is>
      </c>
      <c r="C22" s="17" t="n"/>
    </row>
    <row r="24">
      <c r="A24" s="14" t="inlineStr">
        <is>
          <t>קשר לפרקטיקה: ברגע שיש תחזית שנתית מעודכנת אפשר לחשב מקדמות מס נכונות, ולהגיש בקשה להקטנת מקדמות לפי סעיף 175 אם התחזית נמוכה מהמחזור שעליו נקבע המקדם. זה הכסף הכי זול שמשרד רואה חשבון יכול לחסוך ללקוח, והוא זמין רק למי שיש לו תחזית.</t>
        </is>
      </c>
    </row>
    <row r="25">
      <c r="A25" s="14" t="inlineStr">
        <is>
          <t>קשר לפרקטיקה — מודול ב׳: תחזית רווח שנתית מעודכנת היא גם הקלט להחלטת דיבידנד מול שכר ולתכנון מול רפורמת הרווחים הלא מחולקים. בלי תחזית, ההחלטה מתקבלת במרץ שאחרי — כלומר מאוחר מדי.</t>
        </is>
      </c>
    </row>
    <row r="27">
      <c r="A27" s="14" t="inlineStr">
        <is>
          <t>תרגיל: הזינו 3 בתא חודשי האקטואל, ואז 6. איך משתנה התחזית השנתית? מה זה אומר על ההסתמכות על תקציב שנקבע בדצמבר?</t>
        </is>
      </c>
    </row>
  </sheetData>
  <mergeCells count="5">
    <mergeCell ref="A5:P5"/>
    <mergeCell ref="A1:P1"/>
    <mergeCell ref="A4:P4"/>
    <mergeCell ref="A3:P3"/>
    <mergeCell ref="A2:P2"/>
  </mergeCells>
  <dataValidations count="1">
    <dataValidation sqref="C7" showDropDown="0" showInputMessage="0" showErrorMessage="0" allowBlank="0" type="whole" operator="between">
      <formula1>1</formula1>
      <formula2>12</formula2>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7"/>
  <sheetViews>
    <sheetView rightToLeft="1" workbookViewId="0">
      <selection activeCell="A1" sqref="A1"/>
    </sheetView>
  </sheetViews>
  <sheetFormatPr baseColWidth="8" defaultRowHeight="15"/>
  <cols>
    <col width="40" customWidth="1" min="1" max="1"/>
    <col width="18" customWidth="1" min="2" max="2"/>
    <col width="4" customWidth="1" min="3" max="3"/>
    <col width="40" customWidth="1" min="4" max="4"/>
    <col width="18" customWidth="1" min="5" max="5"/>
  </cols>
  <sheetData>
    <row r="1" ht="34" customHeight="1">
      <c r="A1" s="1" t="inlineStr">
        <is>
          <t>ארגז הכלים · כמה עולה לתת ללקוח תנאי תשלום ארוכים</t>
        </is>
      </c>
    </row>
    <row r="2" ht="20" customHeight="1">
      <c r="A2" s="2" t="inlineStr">
        <is>
          <t>הכלי הזה מגיע מוכן ועובד. לא נבנה אותו בכיתה. שנו רק את התאים בקרם.</t>
        </is>
      </c>
    </row>
    <row r="3">
      <c r="A3" s="14" t="inlineStr">
        <is>
          <t>הרקע: לקוח שמבקש ״שוטף פלוס 90״ במקום ״שוטף פלוס 30״ לא מבקש הנחה, אבל הוא לוקח מכם כסף. הכלי מתרגם את הבקשה שלו לשקלים, וגם אומר איזו הנחה כדאי לכם להציע לו כדי שישלם מיד.</t>
        </is>
      </c>
    </row>
    <row r="5">
      <c r="A5" s="18" t="inlineStr">
        <is>
          <t>הנתונים שאתם מזינים</t>
        </is>
      </c>
    </row>
    <row r="6">
      <c r="A6" s="3" t="inlineStr">
        <is>
          <t>מחזור שנתי מהלקוח הזה</t>
        </is>
      </c>
      <c r="B6" s="28" t="n">
        <v>1800000</v>
      </c>
    </row>
    <row r="7">
      <c r="A7" s="3" t="inlineStr">
        <is>
          <t>תנאי התשלום היום (ימים)</t>
        </is>
      </c>
      <c r="B7" s="34" t="n">
        <v>30</v>
      </c>
    </row>
    <row r="8">
      <c r="A8" s="3" t="inlineStr">
        <is>
          <t>תנאי התשלום המבוקשים (ימים)</t>
        </is>
      </c>
      <c r="B8" s="34" t="n">
        <v>90</v>
      </c>
    </row>
    <row r="9">
      <c r="A9" s="3" t="inlineStr">
        <is>
          <t>ריבית האשראי הבנקאי שלכם (שנתי)</t>
        </is>
      </c>
      <c r="B9" s="35" t="n">
        <v>0.08</v>
      </c>
    </row>
    <row r="10">
      <c r="A10" s="3" t="inlineStr">
        <is>
          <t>שיעור הרווח הגולמי על הלקוח הזה</t>
        </is>
      </c>
      <c r="B10" s="35" t="n">
        <v>0.35</v>
      </c>
    </row>
    <row r="12">
      <c r="A12" s="18" t="inlineStr">
        <is>
          <t>מה זה אומר</t>
        </is>
      </c>
    </row>
    <row r="13">
      <c r="A13" s="3" t="inlineStr">
        <is>
          <t>מחזור יומי מהלקוח</t>
        </is>
      </c>
      <c r="B13" s="36">
        <f>B6/365</f>
        <v/>
      </c>
    </row>
    <row r="14">
      <c r="A14" s="3" t="inlineStr">
        <is>
          <t>כסף שתפוס אצלו היום</t>
        </is>
      </c>
      <c r="B14" s="36">
        <f>B13*B7</f>
        <v/>
      </c>
    </row>
    <row r="15">
      <c r="A15" s="3" t="inlineStr">
        <is>
          <t>כסף שיהיה תפוס אצלו בתנאים החדשים</t>
        </is>
      </c>
      <c r="B15" s="36">
        <f>B13*B8</f>
        <v/>
      </c>
    </row>
    <row r="16">
      <c r="A16" s="3" t="inlineStr">
        <is>
          <t>תוספת המימון שאתם נותנים לו</t>
        </is>
      </c>
      <c r="B16" s="36">
        <f>B15-B14</f>
        <v/>
      </c>
    </row>
    <row r="17">
      <c r="A17" s="3" t="inlineStr">
        <is>
          <t>כמה זה עולה לכם בשנה</t>
        </is>
      </c>
      <c r="B17" s="36">
        <f>B16*B9</f>
        <v/>
      </c>
    </row>
    <row r="18">
      <c r="A18" s="3" t="inlineStr">
        <is>
          <t>העלות כאחוז מהמחזור מהלקוח</t>
        </is>
      </c>
      <c r="B18" s="37">
        <f>B17/B6</f>
        <v/>
      </c>
    </row>
    <row r="19">
      <c r="A19" s="3" t="inlineStr">
        <is>
          <t>העלות ככרסום ברווח הגולמי מהלקוח</t>
        </is>
      </c>
      <c r="B19" s="37">
        <f>B17/(B6*B10)</f>
        <v/>
      </c>
    </row>
    <row r="20">
      <c r="A20" s="3" t="inlineStr">
        <is>
          <t>ההנחה המקסימלית ששווה לתת עבור תשלום מיידי</t>
        </is>
      </c>
      <c r="B20" s="37">
        <f>(B7/365)*B9</f>
        <v/>
      </c>
    </row>
    <row r="21">
      <c r="A21" s="3" t="inlineStr">
        <is>
          <t>ובשקלים, על המחזור מהלקוח</t>
        </is>
      </c>
      <c r="B21" s="36">
        <f>B20*B6</f>
        <v/>
      </c>
    </row>
    <row r="23">
      <c r="A23" s="18" t="inlineStr">
        <is>
          <t>איך קוראים את התוצאה</t>
        </is>
      </c>
    </row>
    <row r="24">
      <c r="A24" s="14" t="inlineStr">
        <is>
          <t>שורה 16 היא הכסף שתעבירו ללקוח בלי לקרוא לזה הלוואה. שורה 17 היא כמה זה עולה לכם בשנה, בהנחה שהפער ממומן באשראי בנקאי.</t>
        </is>
      </c>
    </row>
    <row r="25">
      <c r="A25" s="14" t="inlineStr">
        <is>
          <t>שורה 19 היא המספר שמשכנע: כמה אחוזים מהרווח הגולמי על הלקוח הזה נאכלים רק בגלל תנאי התשלום.</t>
        </is>
      </c>
    </row>
    <row r="26">
      <c r="A26" s="14" t="inlineStr">
        <is>
          <t>שורה 20 היא הכלי המסחרי: אם ההנחה שהלקוח מבקש עבור תשלום מיידי קטנה מהמספר הזה, כדאי לכם לתת אותה. אם גדולה, עדיף לממן.</t>
        </is>
      </c>
    </row>
    <row r="27">
      <c r="A27" s="14" t="inlineStr">
        <is>
          <t>שימו לב: הכלי מניח שהפער ממומן באשראי. אם יש לכם מזומן פנוי, השתמשו בתשואה החלופית שלכם במקום בריבית הבנקאית.</t>
        </is>
      </c>
    </row>
  </sheetData>
  <mergeCells count="2">
    <mergeCell ref="A2:F2"/>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3"/>
  <sheetViews>
    <sheetView rightToLeft="1" workbookViewId="0">
      <selection activeCell="A1" sqref="A1"/>
    </sheetView>
  </sheetViews>
  <sheetFormatPr baseColWidth="8" defaultRowHeight="15"/>
  <cols>
    <col width="30" customWidth="1" min="1" max="1"/>
    <col width="9"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4" customWidth="1" min="16" max="16"/>
  </cols>
  <sheetData>
    <row r="1" ht="34" customHeight="1">
      <c r="A1" s="1" t="inlineStr">
        <is>
          <t>ארגז הכלים · תבנית תזרים 13 שבועות ריקה, ללקוח אמיתי</t>
        </is>
      </c>
    </row>
    <row r="2" ht="20" customHeight="1">
      <c r="A2" s="2" t="inlineStr">
        <is>
          <t>אותו מנוע של מעבדה 5, בלי נתונים. הנוסחאות כבר בפנים. מלאו שמות שורות, דירוג ודאות וסכומים.</t>
        </is>
      </c>
    </row>
    <row r="3">
      <c r="A3" s="14" t="inlineStr">
        <is>
          <t>הוראות: (1) הזינו תאריך תחילה בתא C10. (2) כתבו את שמות השורות בעמודה A. (3) דרגו ודאות 1 עד 5 בעמודה B. (4) הזינו סכומים: תקבולים כמספר חיובי, תשלומים כמספר שלילי. שורות הסיכום מחשבות לבד.</t>
        </is>
      </c>
    </row>
    <row r="5">
      <c r="A5" s="3" t="inlineStr">
        <is>
          <t>תרחיש:</t>
        </is>
      </c>
      <c r="B5" s="20" t="inlineStr">
        <is>
          <t>בסיס</t>
        </is>
      </c>
    </row>
    <row r="6">
      <c r="A6" s="3" t="inlineStr">
        <is>
          <t>יתרת פתיחה:</t>
        </is>
      </c>
      <c r="B6" s="28" t="n">
        <v>0</v>
      </c>
    </row>
    <row r="7">
      <c r="A7" s="3" t="inlineStr">
        <is>
          <t>מסגרת אשראי:</t>
        </is>
      </c>
      <c r="B7" s="28" t="n">
        <v>0</v>
      </c>
    </row>
    <row r="10" ht="30" customHeight="1">
      <c r="A10" s="8" t="inlineStr">
        <is>
          <t>שורה</t>
        </is>
      </c>
      <c r="B10" s="8" t="inlineStr">
        <is>
          <t>ודאות</t>
        </is>
      </c>
      <c r="C10" s="8" t="inlineStr">
        <is>
          <t>שבוע 1</t>
        </is>
      </c>
      <c r="D10" s="8" t="inlineStr">
        <is>
          <t>שבוע 2</t>
        </is>
      </c>
      <c r="E10" s="8" t="inlineStr">
        <is>
          <t>שבוע 3</t>
        </is>
      </c>
      <c r="F10" s="8" t="inlineStr">
        <is>
          <t>שבוע 4</t>
        </is>
      </c>
      <c r="G10" s="8" t="inlineStr">
        <is>
          <t>שבוע 5</t>
        </is>
      </c>
      <c r="H10" s="8" t="inlineStr">
        <is>
          <t>שבוע 6</t>
        </is>
      </c>
      <c r="I10" s="8" t="inlineStr">
        <is>
          <t>שבוע 7</t>
        </is>
      </c>
      <c r="J10" s="8" t="inlineStr">
        <is>
          <t>שבוע 8</t>
        </is>
      </c>
      <c r="K10" s="8" t="inlineStr">
        <is>
          <t>שבוע 9</t>
        </is>
      </c>
      <c r="L10" s="8" t="inlineStr">
        <is>
          <t>שבוע 10</t>
        </is>
      </c>
      <c r="M10" s="8" t="inlineStr">
        <is>
          <t>שבוע 11</t>
        </is>
      </c>
      <c r="N10" s="8" t="inlineStr">
        <is>
          <t>שבוע 12</t>
        </is>
      </c>
      <c r="O10" s="8" t="inlineStr">
        <is>
          <t>שבוע 13</t>
        </is>
      </c>
      <c r="P10" s="8" t="inlineStr">
        <is>
          <t>סה"כ</t>
        </is>
      </c>
    </row>
    <row r="11">
      <c r="A11" s="38" t="n"/>
      <c r="B11" s="38" t="n"/>
      <c r="C11" s="28" t="n"/>
      <c r="D11" s="28" t="n"/>
      <c r="E11" s="28" t="n"/>
      <c r="F11" s="28" t="n"/>
      <c r="G11" s="28" t="n"/>
      <c r="H11" s="28" t="n"/>
      <c r="I11" s="28" t="n"/>
      <c r="J11" s="28" t="n"/>
      <c r="K11" s="28" t="n"/>
      <c r="L11" s="28" t="n"/>
      <c r="M11" s="28" t="n"/>
      <c r="N11" s="28" t="n"/>
      <c r="O11" s="28" t="n"/>
      <c r="P11" s="28" t="n"/>
    </row>
    <row r="12">
      <c r="A12" s="38" t="n"/>
      <c r="B12" s="38" t="n"/>
      <c r="C12" s="28" t="n"/>
      <c r="D12" s="28" t="n"/>
      <c r="E12" s="28" t="n"/>
      <c r="F12" s="28" t="n"/>
      <c r="G12" s="28" t="n"/>
      <c r="H12" s="28" t="n"/>
      <c r="I12" s="28" t="n"/>
      <c r="J12" s="28" t="n"/>
      <c r="K12" s="28" t="n"/>
      <c r="L12" s="28" t="n"/>
      <c r="M12" s="28" t="n"/>
      <c r="N12" s="28" t="n"/>
      <c r="O12" s="28" t="n"/>
      <c r="P12" s="28" t="n"/>
    </row>
    <row r="13">
      <c r="A13" s="38" t="n"/>
      <c r="B13" s="38" t="n"/>
      <c r="C13" s="28" t="n"/>
      <c r="D13" s="28" t="n"/>
      <c r="E13" s="28" t="n"/>
      <c r="F13" s="28" t="n"/>
      <c r="G13" s="28" t="n"/>
      <c r="H13" s="28" t="n"/>
      <c r="I13" s="28" t="n"/>
      <c r="J13" s="28" t="n"/>
      <c r="K13" s="28" t="n"/>
      <c r="L13" s="28" t="n"/>
      <c r="M13" s="28" t="n"/>
      <c r="N13" s="28" t="n"/>
      <c r="O13" s="28" t="n"/>
      <c r="P13" s="28" t="n"/>
    </row>
    <row r="14">
      <c r="A14" s="38" t="n"/>
      <c r="B14" s="38" t="n"/>
      <c r="C14" s="28" t="n"/>
      <c r="D14" s="28" t="n"/>
      <c r="E14" s="28" t="n"/>
      <c r="F14" s="28" t="n"/>
      <c r="G14" s="28" t="n"/>
      <c r="H14" s="28" t="n"/>
      <c r="I14" s="28" t="n"/>
      <c r="J14" s="28" t="n"/>
      <c r="K14" s="28" t="n"/>
      <c r="L14" s="28" t="n"/>
      <c r="M14" s="28" t="n"/>
      <c r="N14" s="28" t="n"/>
      <c r="O14" s="28" t="n"/>
      <c r="P14" s="28" t="n"/>
    </row>
    <row r="15">
      <c r="A15" s="38" t="n"/>
      <c r="B15" s="38" t="n"/>
      <c r="C15" s="28" t="n"/>
      <c r="D15" s="28" t="n"/>
      <c r="E15" s="28" t="n"/>
      <c r="F15" s="28" t="n"/>
      <c r="G15" s="28" t="n"/>
      <c r="H15" s="28" t="n"/>
      <c r="I15" s="28" t="n"/>
      <c r="J15" s="28" t="n"/>
      <c r="K15" s="28" t="n"/>
      <c r="L15" s="28" t="n"/>
      <c r="M15" s="28" t="n"/>
      <c r="N15" s="28" t="n"/>
      <c r="O15" s="28" t="n"/>
      <c r="P15" s="28" t="n"/>
    </row>
    <row r="16">
      <c r="A16" s="38" t="n"/>
      <c r="B16" s="38" t="n"/>
      <c r="C16" s="28" t="n"/>
      <c r="D16" s="28" t="n"/>
      <c r="E16" s="28" t="n"/>
      <c r="F16" s="28" t="n"/>
      <c r="G16" s="28" t="n"/>
      <c r="H16" s="28" t="n"/>
      <c r="I16" s="28" t="n"/>
      <c r="J16" s="28" t="n"/>
      <c r="K16" s="28" t="n"/>
      <c r="L16" s="28" t="n"/>
      <c r="M16" s="28" t="n"/>
      <c r="N16" s="28" t="n"/>
      <c r="O16" s="28" t="n"/>
      <c r="P16" s="28" t="n"/>
    </row>
    <row r="17">
      <c r="A17" s="38" t="n"/>
      <c r="B17" s="38" t="n"/>
      <c r="C17" s="28" t="n"/>
      <c r="D17" s="28" t="n"/>
      <c r="E17" s="28" t="n"/>
      <c r="F17" s="28" t="n"/>
      <c r="G17" s="28" t="n"/>
      <c r="H17" s="28" t="n"/>
      <c r="I17" s="28" t="n"/>
      <c r="J17" s="28" t="n"/>
      <c r="K17" s="28" t="n"/>
      <c r="L17" s="28" t="n"/>
      <c r="M17" s="28" t="n"/>
      <c r="N17" s="28" t="n"/>
      <c r="O17" s="28" t="n"/>
      <c r="P17" s="28" t="n"/>
    </row>
    <row r="18">
      <c r="A18" s="38" t="n"/>
      <c r="B18" s="38" t="n"/>
      <c r="C18" s="28" t="n"/>
      <c r="D18" s="28" t="n"/>
      <c r="E18" s="28" t="n"/>
      <c r="F18" s="28" t="n"/>
      <c r="G18" s="28" t="n"/>
      <c r="H18" s="28" t="n"/>
      <c r="I18" s="28" t="n"/>
      <c r="J18" s="28" t="n"/>
      <c r="K18" s="28" t="n"/>
      <c r="L18" s="28" t="n"/>
      <c r="M18" s="28" t="n"/>
      <c r="N18" s="28" t="n"/>
      <c r="O18" s="28" t="n"/>
      <c r="P18" s="28" t="n"/>
    </row>
    <row r="19">
      <c r="A19" s="38" t="n"/>
      <c r="B19" s="38" t="n"/>
      <c r="C19" s="28" t="n"/>
      <c r="D19" s="28" t="n"/>
      <c r="E19" s="28" t="n"/>
      <c r="F19" s="28" t="n"/>
      <c r="G19" s="28" t="n"/>
      <c r="H19" s="28" t="n"/>
      <c r="I19" s="28" t="n"/>
      <c r="J19" s="28" t="n"/>
      <c r="K19" s="28" t="n"/>
      <c r="L19" s="28" t="n"/>
      <c r="M19" s="28" t="n"/>
      <c r="N19" s="28" t="n"/>
      <c r="O19" s="28" t="n"/>
      <c r="P19" s="28" t="n"/>
    </row>
    <row r="20">
      <c r="A20" s="38" t="n"/>
      <c r="B20" s="38" t="n"/>
      <c r="C20" s="28" t="n"/>
      <c r="D20" s="28" t="n"/>
      <c r="E20" s="28" t="n"/>
      <c r="F20" s="28" t="n"/>
      <c r="G20" s="28" t="n"/>
      <c r="H20" s="28" t="n"/>
      <c r="I20" s="28" t="n"/>
      <c r="J20" s="28" t="n"/>
      <c r="K20" s="28" t="n"/>
      <c r="L20" s="28" t="n"/>
      <c r="M20" s="28" t="n"/>
      <c r="N20" s="28" t="n"/>
      <c r="O20" s="28" t="n"/>
      <c r="P20" s="28" t="n"/>
    </row>
    <row r="21">
      <c r="A21" s="38" t="n"/>
      <c r="B21" s="38" t="n"/>
      <c r="C21" s="28" t="n"/>
      <c r="D21" s="28" t="n"/>
      <c r="E21" s="28" t="n"/>
      <c r="F21" s="28" t="n"/>
      <c r="G21" s="28" t="n"/>
      <c r="H21" s="28" t="n"/>
      <c r="I21" s="28" t="n"/>
      <c r="J21" s="28" t="n"/>
      <c r="K21" s="28" t="n"/>
      <c r="L21" s="28" t="n"/>
      <c r="M21" s="28" t="n"/>
      <c r="N21" s="28" t="n"/>
      <c r="O21" s="28" t="n"/>
      <c r="P21" s="28" t="n"/>
    </row>
    <row r="22">
      <c r="A22" s="38" t="n"/>
      <c r="B22" s="38" t="n"/>
      <c r="C22" s="28" t="n"/>
      <c r="D22" s="28" t="n"/>
      <c r="E22" s="28" t="n"/>
      <c r="F22" s="28" t="n"/>
      <c r="G22" s="28" t="n"/>
      <c r="H22" s="28" t="n"/>
      <c r="I22" s="28" t="n"/>
      <c r="J22" s="28" t="n"/>
      <c r="K22" s="28" t="n"/>
      <c r="L22" s="28" t="n"/>
      <c r="M22" s="28" t="n"/>
      <c r="N22" s="28" t="n"/>
      <c r="O22" s="28" t="n"/>
      <c r="P22" s="28" t="n"/>
    </row>
    <row r="23">
      <c r="A23" s="38" t="n"/>
      <c r="B23" s="38" t="n"/>
      <c r="C23" s="28" t="n"/>
      <c r="D23" s="28" t="n"/>
      <c r="E23" s="28" t="n"/>
      <c r="F23" s="28" t="n"/>
      <c r="G23" s="28" t="n"/>
      <c r="H23" s="28" t="n"/>
      <c r="I23" s="28" t="n"/>
      <c r="J23" s="28" t="n"/>
      <c r="K23" s="28" t="n"/>
      <c r="L23" s="28" t="n"/>
      <c r="M23" s="28" t="n"/>
      <c r="N23" s="28" t="n"/>
      <c r="O23" s="28" t="n"/>
      <c r="P23" s="28" t="n"/>
    </row>
    <row r="24">
      <c r="A24" s="38" t="n"/>
      <c r="B24" s="38" t="n"/>
      <c r="C24" s="28" t="n"/>
      <c r="D24" s="28" t="n"/>
      <c r="E24" s="28" t="n"/>
      <c r="F24" s="28" t="n"/>
      <c r="G24" s="28" t="n"/>
      <c r="H24" s="28" t="n"/>
      <c r="I24" s="28" t="n"/>
      <c r="J24" s="28" t="n"/>
      <c r="K24" s="28" t="n"/>
      <c r="L24" s="28" t="n"/>
      <c r="M24" s="28" t="n"/>
      <c r="N24" s="28" t="n"/>
      <c r="O24" s="28" t="n"/>
      <c r="P24" s="28" t="n"/>
    </row>
    <row r="25">
      <c r="A25" s="38" t="n"/>
      <c r="B25" s="38" t="n"/>
      <c r="C25" s="28" t="n"/>
      <c r="D25" s="28" t="n"/>
      <c r="E25" s="28" t="n"/>
      <c r="F25" s="28" t="n"/>
      <c r="G25" s="28" t="n"/>
      <c r="H25" s="28" t="n"/>
      <c r="I25" s="28" t="n"/>
      <c r="J25" s="28" t="n"/>
      <c r="K25" s="28" t="n"/>
      <c r="L25" s="28" t="n"/>
      <c r="M25" s="28" t="n"/>
      <c r="N25" s="28" t="n"/>
      <c r="O25" s="28" t="n"/>
      <c r="P25" s="28" t="n"/>
    </row>
    <row r="26">
      <c r="A26" s="38" t="n"/>
      <c r="B26" s="38" t="n"/>
      <c r="C26" s="28" t="n"/>
      <c r="D26" s="28" t="n"/>
      <c r="E26" s="28" t="n"/>
      <c r="F26" s="28" t="n"/>
      <c r="G26" s="28" t="n"/>
      <c r="H26" s="28" t="n"/>
      <c r="I26" s="28" t="n"/>
      <c r="J26" s="28" t="n"/>
      <c r="K26" s="28" t="n"/>
      <c r="L26" s="28" t="n"/>
      <c r="M26" s="28" t="n"/>
      <c r="N26" s="28" t="n"/>
      <c r="O26" s="28" t="n"/>
      <c r="P26" s="28" t="n"/>
    </row>
    <row r="27">
      <c r="A27" s="38" t="n"/>
      <c r="B27" s="38" t="n"/>
      <c r="C27" s="28" t="n"/>
      <c r="D27" s="28" t="n"/>
      <c r="E27" s="28" t="n"/>
      <c r="F27" s="28" t="n"/>
      <c r="G27" s="28" t="n"/>
      <c r="H27" s="28" t="n"/>
      <c r="I27" s="28" t="n"/>
      <c r="J27" s="28" t="n"/>
      <c r="K27" s="28" t="n"/>
      <c r="L27" s="28" t="n"/>
      <c r="M27" s="28" t="n"/>
      <c r="N27" s="28" t="n"/>
      <c r="O27" s="28" t="n"/>
      <c r="P27" s="28" t="n"/>
    </row>
    <row r="28">
      <c r="A28" s="38" t="n"/>
      <c r="B28" s="38" t="n"/>
      <c r="C28" s="28" t="n"/>
      <c r="D28" s="28" t="n"/>
      <c r="E28" s="28" t="n"/>
      <c r="F28" s="28" t="n"/>
      <c r="G28" s="28" t="n"/>
      <c r="H28" s="28" t="n"/>
      <c r="I28" s="28" t="n"/>
      <c r="J28" s="28" t="n"/>
      <c r="K28" s="28" t="n"/>
      <c r="L28" s="28" t="n"/>
      <c r="M28" s="28" t="n"/>
      <c r="N28" s="28" t="n"/>
      <c r="O28" s="28" t="n"/>
      <c r="P28" s="28" t="n"/>
    </row>
    <row r="29">
      <c r="A29" s="38" t="n"/>
      <c r="B29" s="38" t="n"/>
      <c r="C29" s="28" t="n"/>
      <c r="D29" s="28" t="n"/>
      <c r="E29" s="28" t="n"/>
      <c r="F29" s="28" t="n"/>
      <c r="G29" s="28" t="n"/>
      <c r="H29" s="28" t="n"/>
      <c r="I29" s="28" t="n"/>
      <c r="J29" s="28" t="n"/>
      <c r="K29" s="28" t="n"/>
      <c r="L29" s="28" t="n"/>
      <c r="M29" s="28" t="n"/>
      <c r="N29" s="28" t="n"/>
      <c r="O29" s="28" t="n"/>
      <c r="P29" s="28" t="n"/>
    </row>
    <row r="30">
      <c r="A30" s="38" t="n"/>
      <c r="B30" s="38" t="n"/>
      <c r="C30" s="28" t="n"/>
      <c r="D30" s="28" t="n"/>
      <c r="E30" s="28" t="n"/>
      <c r="F30" s="28" t="n"/>
      <c r="G30" s="28" t="n"/>
      <c r="H30" s="28" t="n"/>
      <c r="I30" s="28" t="n"/>
      <c r="J30" s="28" t="n"/>
      <c r="K30" s="28" t="n"/>
      <c r="L30" s="28" t="n"/>
      <c r="M30" s="28" t="n"/>
      <c r="N30" s="28" t="n"/>
      <c r="O30" s="28" t="n"/>
      <c r="P30" s="28" t="n"/>
    </row>
    <row r="31">
      <c r="A31" s="38" t="n"/>
      <c r="B31" s="38" t="n"/>
      <c r="C31" s="28" t="n"/>
      <c r="D31" s="28" t="n"/>
      <c r="E31" s="28" t="n"/>
      <c r="F31" s="28" t="n"/>
      <c r="G31" s="28" t="n"/>
      <c r="H31" s="28" t="n"/>
      <c r="I31" s="28" t="n"/>
      <c r="J31" s="28" t="n"/>
      <c r="K31" s="28" t="n"/>
      <c r="L31" s="28" t="n"/>
      <c r="M31" s="28" t="n"/>
      <c r="N31" s="28" t="n"/>
      <c r="O31" s="28" t="n"/>
      <c r="P31" s="28" t="n"/>
    </row>
    <row r="32">
      <c r="A32" s="38" t="n"/>
      <c r="B32" s="38" t="n"/>
      <c r="C32" s="28" t="n"/>
      <c r="D32" s="28" t="n"/>
      <c r="E32" s="28" t="n"/>
      <c r="F32" s="28" t="n"/>
      <c r="G32" s="28" t="n"/>
      <c r="H32" s="28" t="n"/>
      <c r="I32" s="28" t="n"/>
      <c r="J32" s="28" t="n"/>
      <c r="K32" s="28" t="n"/>
      <c r="L32" s="28" t="n"/>
      <c r="M32" s="28" t="n"/>
      <c r="N32" s="28" t="n"/>
      <c r="O32" s="28" t="n"/>
      <c r="P32" s="28" t="n"/>
    </row>
    <row r="34">
      <c r="A34" s="30" t="inlineStr">
        <is>
          <t>סה"כ תקבולים</t>
        </is>
      </c>
      <c r="C34" s="39">
        <f>SUMPRODUCT((C$11:C$32&gt;0)*C$11:C$32*IF($B$5="פסימי",($B$11:$B$32&gt;=4)*1,1))*IF($B$5="אופטימי",1.1,IF($B$5="פסימי",0.85,1))</f>
        <v/>
      </c>
      <c r="D34" s="39">
        <f>SUMPRODUCT((D$11:D$32&gt;0)*D$11:D$32*IF($B$5="פסימי",($B$11:$B$32&gt;=4)*1,1))*IF($B$5="אופטימי",1.1,IF($B$5="פסימי",0.85,1))</f>
        <v/>
      </c>
      <c r="E34" s="39">
        <f>SUMPRODUCT((E$11:E$32&gt;0)*E$11:E$32*IF($B$5="פסימי",($B$11:$B$32&gt;=4)*1,1))*IF($B$5="אופטימי",1.1,IF($B$5="פסימי",0.85,1))</f>
        <v/>
      </c>
      <c r="F34" s="39">
        <f>SUMPRODUCT((F$11:F$32&gt;0)*F$11:F$32*IF($B$5="פסימי",($B$11:$B$32&gt;=4)*1,1))*IF($B$5="אופטימי",1.1,IF($B$5="פסימי",0.85,1))</f>
        <v/>
      </c>
      <c r="G34" s="39">
        <f>SUMPRODUCT((G$11:G$32&gt;0)*G$11:G$32*IF($B$5="פסימי",($B$11:$B$32&gt;=4)*1,1))*IF($B$5="אופטימי",1.1,IF($B$5="פסימי",0.85,1))</f>
        <v/>
      </c>
      <c r="H34" s="39">
        <f>SUMPRODUCT((H$11:H$32&gt;0)*H$11:H$32*IF($B$5="פסימי",($B$11:$B$32&gt;=4)*1,1))*IF($B$5="אופטימי",1.1,IF($B$5="פסימי",0.85,1))</f>
        <v/>
      </c>
      <c r="I34" s="39">
        <f>SUMPRODUCT((I$11:I$32&gt;0)*I$11:I$32*IF($B$5="פסימי",($B$11:$B$32&gt;=4)*1,1))*IF($B$5="אופטימי",1.1,IF($B$5="פסימי",0.85,1))</f>
        <v/>
      </c>
      <c r="J34" s="39">
        <f>SUMPRODUCT((J$11:J$32&gt;0)*J$11:J$32*IF($B$5="פסימי",($B$11:$B$32&gt;=4)*1,1))*IF($B$5="אופטימי",1.1,IF($B$5="פסימי",0.85,1))</f>
        <v/>
      </c>
      <c r="K34" s="39">
        <f>SUMPRODUCT((K$11:K$32&gt;0)*K$11:K$32*IF($B$5="פסימי",($B$11:$B$32&gt;=4)*1,1))*IF($B$5="אופטימי",1.1,IF($B$5="פסימי",0.85,1))</f>
        <v/>
      </c>
      <c r="L34" s="39">
        <f>SUMPRODUCT((L$11:L$32&gt;0)*L$11:L$32*IF($B$5="פסימי",($B$11:$B$32&gt;=4)*1,1))*IF($B$5="אופטימי",1.1,IF($B$5="פסימי",0.85,1))</f>
        <v/>
      </c>
      <c r="M34" s="39">
        <f>SUMPRODUCT((M$11:M$32&gt;0)*M$11:M$32*IF($B$5="פסימי",($B$11:$B$32&gt;=4)*1,1))*IF($B$5="אופטימי",1.1,IF($B$5="פסימי",0.85,1))</f>
        <v/>
      </c>
      <c r="N34" s="39">
        <f>SUMPRODUCT((N$11:N$32&gt;0)*N$11:N$32*IF($B$5="פסימי",($B$11:$B$32&gt;=4)*1,1))*IF($B$5="אופטימי",1.1,IF($B$5="פסימי",0.85,1))</f>
        <v/>
      </c>
      <c r="O34" s="39">
        <f>SUMPRODUCT((O$11:O$32&gt;0)*O$11:O$32*IF($B$5="פסימי",($B$11:$B$32&gt;=4)*1,1))*IF($B$5="אופטימי",1.1,IF($B$5="פסימי",0.85,1))</f>
        <v/>
      </c>
      <c r="P34" s="39">
        <f>SUM(C34:O34)</f>
        <v/>
      </c>
    </row>
    <row r="35">
      <c r="A35" s="30" t="inlineStr">
        <is>
          <t>סה"כ תשלומים</t>
        </is>
      </c>
      <c r="C35" s="39">
        <f>SUMPRODUCT((C$11:C$32&lt;0)*C$11:C$32)</f>
        <v/>
      </c>
      <c r="D35" s="39">
        <f>SUMPRODUCT((D$11:D$32&lt;0)*D$11:D$32)</f>
        <v/>
      </c>
      <c r="E35" s="39">
        <f>SUMPRODUCT((E$11:E$32&lt;0)*E$11:E$32)</f>
        <v/>
      </c>
      <c r="F35" s="39">
        <f>SUMPRODUCT((F$11:F$32&lt;0)*F$11:F$32)</f>
        <v/>
      </c>
      <c r="G35" s="39">
        <f>SUMPRODUCT((G$11:G$32&lt;0)*G$11:G$32)</f>
        <v/>
      </c>
      <c r="H35" s="39">
        <f>SUMPRODUCT((H$11:H$32&lt;0)*H$11:H$32)</f>
        <v/>
      </c>
      <c r="I35" s="39">
        <f>SUMPRODUCT((I$11:I$32&lt;0)*I$11:I$32)</f>
        <v/>
      </c>
      <c r="J35" s="39">
        <f>SUMPRODUCT((J$11:J$32&lt;0)*J$11:J$32)</f>
        <v/>
      </c>
      <c r="K35" s="39">
        <f>SUMPRODUCT((K$11:K$32&lt;0)*K$11:K$32)</f>
        <v/>
      </c>
      <c r="L35" s="39">
        <f>SUMPRODUCT((L$11:L$32&lt;0)*L$11:L$32)</f>
        <v/>
      </c>
      <c r="M35" s="39">
        <f>SUMPRODUCT((M$11:M$32&lt;0)*M$11:M$32)</f>
        <v/>
      </c>
      <c r="N35" s="39">
        <f>SUMPRODUCT((N$11:N$32&lt;0)*N$11:N$32)</f>
        <v/>
      </c>
      <c r="O35" s="39">
        <f>SUMPRODUCT((O$11:O$32&lt;0)*O$11:O$32)</f>
        <v/>
      </c>
      <c r="P35" s="39">
        <f>SUM(C35:O35)</f>
        <v/>
      </c>
    </row>
    <row r="36">
      <c r="A36" s="30" t="inlineStr">
        <is>
          <t>תזרים נטו</t>
        </is>
      </c>
      <c r="C36" s="39">
        <f>C34+C35</f>
        <v/>
      </c>
      <c r="D36" s="39">
        <f>D34+D35</f>
        <v/>
      </c>
      <c r="E36" s="39">
        <f>E34+E35</f>
        <v/>
      </c>
      <c r="F36" s="39">
        <f>F34+F35</f>
        <v/>
      </c>
      <c r="G36" s="39">
        <f>G34+G35</f>
        <v/>
      </c>
      <c r="H36" s="39">
        <f>H34+H35</f>
        <v/>
      </c>
      <c r="I36" s="39">
        <f>I34+I35</f>
        <v/>
      </c>
      <c r="J36" s="39">
        <f>J34+J35</f>
        <v/>
      </c>
      <c r="K36" s="39">
        <f>K34+K35</f>
        <v/>
      </c>
      <c r="L36" s="39">
        <f>L34+L35</f>
        <v/>
      </c>
      <c r="M36" s="39">
        <f>M34+M35</f>
        <v/>
      </c>
      <c r="N36" s="39">
        <f>N34+N35</f>
        <v/>
      </c>
      <c r="O36" s="39">
        <f>O34+O35</f>
        <v/>
      </c>
      <c r="P36" s="39">
        <f>SUM(C36:O36)</f>
        <v/>
      </c>
    </row>
    <row r="37">
      <c r="A37" s="30" t="inlineStr">
        <is>
          <t>יתרת פתיחה</t>
        </is>
      </c>
      <c r="C37" s="39">
        <f>IF(COLUMN()=3,$B$6,B38)</f>
        <v/>
      </c>
      <c r="D37" s="39">
        <f>IF(COLUMN()=3,$B$6,C38)</f>
        <v/>
      </c>
      <c r="E37" s="39">
        <f>IF(COLUMN()=3,$B$6,D38)</f>
        <v/>
      </c>
      <c r="F37" s="39">
        <f>IF(COLUMN()=3,$B$6,E38)</f>
        <v/>
      </c>
      <c r="G37" s="39">
        <f>IF(COLUMN()=3,$B$6,F38)</f>
        <v/>
      </c>
      <c r="H37" s="39">
        <f>IF(COLUMN()=3,$B$6,G38)</f>
        <v/>
      </c>
      <c r="I37" s="39">
        <f>IF(COLUMN()=3,$B$6,H38)</f>
        <v/>
      </c>
      <c r="J37" s="39">
        <f>IF(COLUMN()=3,$B$6,I38)</f>
        <v/>
      </c>
      <c r="K37" s="39">
        <f>IF(COLUMN()=3,$B$6,J38)</f>
        <v/>
      </c>
      <c r="L37" s="39">
        <f>IF(COLUMN()=3,$B$6,K38)</f>
        <v/>
      </c>
      <c r="M37" s="39">
        <f>IF(COLUMN()=3,$B$6,L38)</f>
        <v/>
      </c>
      <c r="N37" s="39">
        <f>IF(COLUMN()=3,$B$6,M38)</f>
        <v/>
      </c>
      <c r="O37" s="39">
        <f>IF(COLUMN()=3,$B$6,N38)</f>
        <v/>
      </c>
      <c r="P37" s="39">
        <f>C37</f>
        <v/>
      </c>
    </row>
    <row r="38">
      <c r="A38" s="30" t="inlineStr">
        <is>
          <t>יתרת סגירה</t>
        </is>
      </c>
      <c r="C38" s="39">
        <f>C37+C36</f>
        <v/>
      </c>
      <c r="D38" s="39">
        <f>D37+D36</f>
        <v/>
      </c>
      <c r="E38" s="39">
        <f>E37+E36</f>
        <v/>
      </c>
      <c r="F38" s="39">
        <f>F37+F36</f>
        <v/>
      </c>
      <c r="G38" s="39">
        <f>G37+G36</f>
        <v/>
      </c>
      <c r="H38" s="39">
        <f>H37+H36</f>
        <v/>
      </c>
      <c r="I38" s="39">
        <f>I37+I36</f>
        <v/>
      </c>
      <c r="J38" s="39">
        <f>J37+J36</f>
        <v/>
      </c>
      <c r="K38" s="39">
        <f>K37+K36</f>
        <v/>
      </c>
      <c r="L38" s="39">
        <f>L37+L36</f>
        <v/>
      </c>
      <c r="M38" s="39">
        <f>M37+M36</f>
        <v/>
      </c>
      <c r="N38" s="39">
        <f>N37+N36</f>
        <v/>
      </c>
      <c r="O38" s="39">
        <f>O37+O36</f>
        <v/>
      </c>
      <c r="P38" s="39">
        <f>O38</f>
        <v/>
      </c>
    </row>
    <row r="39">
      <c r="A39" s="30" t="inlineStr">
        <is>
          <t>ניצול מסגרת</t>
        </is>
      </c>
      <c r="C39" s="39">
        <f>MAX(0,-C38)</f>
        <v/>
      </c>
      <c r="D39" s="39">
        <f>MAX(0,-D38)</f>
        <v/>
      </c>
      <c r="E39" s="39">
        <f>MAX(0,-E38)</f>
        <v/>
      </c>
      <c r="F39" s="39">
        <f>MAX(0,-F38)</f>
        <v/>
      </c>
      <c r="G39" s="39">
        <f>MAX(0,-G38)</f>
        <v/>
      </c>
      <c r="H39" s="39">
        <f>MAX(0,-H38)</f>
        <v/>
      </c>
      <c r="I39" s="39">
        <f>MAX(0,-I38)</f>
        <v/>
      </c>
      <c r="J39" s="39">
        <f>MAX(0,-J38)</f>
        <v/>
      </c>
      <c r="K39" s="39">
        <f>MAX(0,-K38)</f>
        <v/>
      </c>
      <c r="L39" s="39">
        <f>MAX(0,-L38)</f>
        <v/>
      </c>
      <c r="M39" s="39">
        <f>MAX(0,-M38)</f>
        <v/>
      </c>
      <c r="N39" s="39">
        <f>MAX(0,-N38)</f>
        <v/>
      </c>
      <c r="O39" s="39">
        <f>MAX(0,-O38)</f>
        <v/>
      </c>
      <c r="P39" s="39">
        <f>MAX(C39:O39)</f>
        <v/>
      </c>
    </row>
    <row r="40">
      <c r="A40" s="30" t="inlineStr">
        <is>
          <t>סטטוס</t>
        </is>
      </c>
      <c r="C40" s="40">
        <f>IF(C38&gt;=0,"תקין",IF(C39&lt;=$B$7,"מסגרת","חריגה"))</f>
        <v/>
      </c>
      <c r="D40" s="40">
        <f>IF(D38&gt;=0,"תקין",IF(D39&lt;=$B$7,"מסגרת","חריגה"))</f>
        <v/>
      </c>
      <c r="E40" s="40">
        <f>IF(E38&gt;=0,"תקין",IF(E39&lt;=$B$7,"מסגרת","חריגה"))</f>
        <v/>
      </c>
      <c r="F40" s="40">
        <f>IF(F38&gt;=0,"תקין",IF(F39&lt;=$B$7,"מסגרת","חריגה"))</f>
        <v/>
      </c>
      <c r="G40" s="40">
        <f>IF(G38&gt;=0,"תקין",IF(G39&lt;=$B$7,"מסגרת","חריגה"))</f>
        <v/>
      </c>
      <c r="H40" s="40">
        <f>IF(H38&gt;=0,"תקין",IF(H39&lt;=$B$7,"מסגרת","חריגה"))</f>
        <v/>
      </c>
      <c r="I40" s="40">
        <f>IF(I38&gt;=0,"תקין",IF(I39&lt;=$B$7,"מסגרת","חריגה"))</f>
        <v/>
      </c>
      <c r="J40" s="40">
        <f>IF(J38&gt;=0,"תקין",IF(J39&lt;=$B$7,"מסגרת","חריגה"))</f>
        <v/>
      </c>
      <c r="K40" s="40">
        <f>IF(K38&gt;=0,"תקין",IF(K39&lt;=$B$7,"מסגרת","חריגה"))</f>
        <v/>
      </c>
      <c r="L40" s="40">
        <f>IF(L38&gt;=0,"תקין",IF(L39&lt;=$B$7,"מסגרת","חריגה"))</f>
        <v/>
      </c>
      <c r="M40" s="40">
        <f>IF(M38&gt;=0,"תקין",IF(M39&lt;=$B$7,"מסגרת","חריגה"))</f>
        <v/>
      </c>
      <c r="N40" s="40">
        <f>IF(N38&gt;=0,"תקין",IF(N39&lt;=$B$7,"מסגרת","חריגה"))</f>
        <v/>
      </c>
      <c r="O40" s="40">
        <f>IF(O38&gt;=0,"תקין",IF(O39&lt;=$B$7,"מסגרת","חריגה"))</f>
        <v/>
      </c>
      <c r="P40" s="40">
        <f>IF(COUNTIF(C40:O40,"חריגה")&gt;0,"חריגה",IF(COUNTIF(C40:O40,"מסגרת")&gt;0,"מסגרת","תקין"))</f>
        <v/>
      </c>
    </row>
    <row r="43">
      <c r="A43" s="14" t="inlineStr">
        <is>
          <t>השורות בקרם ריקות ומחכות לכם. שורות הסיכום כבר מחושבות. אם צריך יותר מ-22 שורות, הוסיפו שורות מעל השורה האחרונה כדי שהסיכומים יתרחבו איתן.</t>
        </is>
      </c>
    </row>
  </sheetData>
  <mergeCells count="2">
    <mergeCell ref="A2:Q2"/>
    <mergeCell ref="A1:Q1"/>
  </mergeCells>
  <conditionalFormatting sqref="C38">
    <cfRule type="cellIs" priority="1" operator="lessThan" dxfId="0">
      <formula>0</formula>
    </cfRule>
  </conditionalFormatting>
  <conditionalFormatting sqref="D38">
    <cfRule type="cellIs" priority="2" operator="lessThan" dxfId="0">
      <formula>0</formula>
    </cfRule>
  </conditionalFormatting>
  <conditionalFormatting sqref="E38">
    <cfRule type="cellIs" priority="3" operator="lessThan" dxfId="0">
      <formula>0</formula>
    </cfRule>
  </conditionalFormatting>
  <conditionalFormatting sqref="F38">
    <cfRule type="cellIs" priority="4" operator="lessThan" dxfId="0">
      <formula>0</formula>
    </cfRule>
  </conditionalFormatting>
  <conditionalFormatting sqref="G38">
    <cfRule type="cellIs" priority="5" operator="lessThan" dxfId="0">
      <formula>0</formula>
    </cfRule>
  </conditionalFormatting>
  <conditionalFormatting sqref="H38">
    <cfRule type="cellIs" priority="6" operator="lessThan" dxfId="0">
      <formula>0</formula>
    </cfRule>
  </conditionalFormatting>
  <conditionalFormatting sqref="I38">
    <cfRule type="cellIs" priority="7" operator="lessThan" dxfId="0">
      <formula>0</formula>
    </cfRule>
  </conditionalFormatting>
  <conditionalFormatting sqref="J38">
    <cfRule type="cellIs" priority="8" operator="lessThan" dxfId="0">
      <formula>0</formula>
    </cfRule>
  </conditionalFormatting>
  <conditionalFormatting sqref="K38">
    <cfRule type="cellIs" priority="9" operator="lessThan" dxfId="0">
      <formula>0</formula>
    </cfRule>
  </conditionalFormatting>
  <conditionalFormatting sqref="L38">
    <cfRule type="cellIs" priority="10" operator="lessThan" dxfId="0">
      <formula>0</formula>
    </cfRule>
  </conditionalFormatting>
  <conditionalFormatting sqref="M38">
    <cfRule type="cellIs" priority="11" operator="lessThan" dxfId="0">
      <formula>0</formula>
    </cfRule>
  </conditionalFormatting>
  <conditionalFormatting sqref="N38">
    <cfRule type="cellIs" priority="12" operator="lessThan" dxfId="0">
      <formula>0</formula>
    </cfRule>
  </conditionalFormatting>
  <conditionalFormatting sqref="O38">
    <cfRule type="cellIs" priority="13" operator="lessThan" dxfId="0">
      <formula>0</formula>
    </cfRule>
  </conditionalFormatting>
  <dataValidations count="1">
    <dataValidation sqref="B5" showDropDown="0" showInputMessage="0" showErrorMessage="0" allowBlank="0" type="list">
      <formula1>"אופטימי,בסיס,פסימי"</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81"/>
  <sheetViews>
    <sheetView rightToLeft="1" workbookViewId="0">
      <selection activeCell="A1" sqref="A1"/>
    </sheetView>
  </sheetViews>
  <sheetFormatPr baseColWidth="8" defaultRowHeight="15"/>
  <cols>
    <col width="20" customWidth="1" min="1" max="1"/>
    <col width="10" customWidth="1" min="2" max="2"/>
    <col width="44" customWidth="1" min="3" max="3"/>
    <col width="100" customWidth="1" min="4" max="4"/>
    <col width="12" customWidth="1" min="5" max="5"/>
  </cols>
  <sheetData>
    <row r="1" ht="34" customHeight="1">
      <c r="A1" s="1" t="inlineStr">
        <is>
          <t>מפתח פתרונות · כל הנוסחאות</t>
        </is>
      </c>
    </row>
    <row r="2" ht="20" customHeight="1">
      <c r="A2" s="2" t="inlineStr">
        <is>
          <t>העתיקו את הנוסחה לתא הראשון בעמודה וגררו למטה או ימינה. בעמודה ״גרירה״ מצוין לאיזה כיוון.</t>
        </is>
      </c>
    </row>
    <row r="4" ht="30" customHeight="1">
      <c r="A4" s="8" t="inlineStr">
        <is>
          <t>גיליון</t>
        </is>
      </c>
      <c r="B4" s="8" t="inlineStr">
        <is>
          <t>תא</t>
        </is>
      </c>
      <c r="C4" s="8" t="inlineStr">
        <is>
          <t>מה זה עושה</t>
        </is>
      </c>
      <c r="D4" s="8" t="inlineStr">
        <is>
          <t>נוסחה</t>
        </is>
      </c>
      <c r="E4" s="8" t="inlineStr">
        <is>
          <t>גרירה</t>
        </is>
      </c>
    </row>
    <row r="5" ht="26" customHeight="1">
      <c r="A5" s="41" t="inlineStr">
        <is>
          <t>04_ETL</t>
        </is>
      </c>
      <c r="B5" s="41" t="inlineStr">
        <is>
          <t>E8</t>
        </is>
      </c>
      <c r="C5" s="41" t="inlineStr">
        <is>
          <t>המרת תאריך טקסט לתאריך אמיתי — עמיד לשני פורמטים ובלתי תלוי בהגדרות אזור</t>
        </is>
      </c>
      <c r="D5" s="42" t="inlineStr">
        <is>
          <t>=LET(t,SUBSTITUTE(TRIM(A8),".","/"),d,VALUE(LEFT(t,FIND("/",t)-1)),r,MID(t,FIND("/",t)+1,20),m,VALUE(LEFT(r,FIND("/",r)-1)),y,VALUE(MID(r,FIND("/",r)+1,4)),DATE(IF(y&lt;100,2000+y,y),m,d))</t>
        </is>
      </c>
      <c r="E5" s="41" t="inlineStr">
        <is>
          <t>למטה</t>
        </is>
      </c>
    </row>
    <row r="6" ht="26" customHeight="1">
      <c r="A6" s="41" t="inlineStr">
        <is>
          <t>04_ETL</t>
        </is>
      </c>
      <c r="B6" s="41" t="inlineStr">
        <is>
          <t>F8</t>
        </is>
      </c>
      <c r="C6" s="41" t="inlineStr">
        <is>
          <t>המרת סכום טקסט למספר — הסרת ₪, פסיקים ורווחים, וסוגריים = שלילי</t>
        </is>
      </c>
      <c r="D6" s="42" t="inlineStr">
        <is>
          <t>=LET(t,TRIM(SUBSTITUTE(C8,UNICHAR(160)," ")),n,SUBSTITUTE(SUBSTITUTE(SUBSTITUTE(t,"₪",""),",","")," ",""),IF(LEFT(n,1)="(",-VALUE(SUBSTITUTE(SUBSTITUTE(n,"(",""),")","")),VALUE(n)))</t>
        </is>
      </c>
      <c r="E6" s="41" t="inlineStr">
        <is>
          <t>למטה</t>
        </is>
      </c>
    </row>
    <row r="7" ht="26" customHeight="1">
      <c r="A7" s="41" t="inlineStr">
        <is>
          <t>04_ETL</t>
        </is>
      </c>
      <c r="B7" s="41" t="inlineStr">
        <is>
          <t>G8</t>
        </is>
      </c>
      <c r="C7" s="41" t="inlineStr">
        <is>
          <t>ניקוי תיאור — רווחים כפולים, רווח קשיח (nbsp) וסימני כיווניות RTL שהבנק משאיר</t>
        </is>
      </c>
      <c r="D7" s="42" t="inlineStr">
        <is>
          <t>=TRIM(SUBSTITUTE(SUBSTITUTE(SUBSTITUTE(B8,UNICHAR(160)," "),UNICHAR(8207),""),UNICHAR(8206),""))</t>
        </is>
      </c>
      <c r="E7" s="41" t="inlineStr">
        <is>
          <t>למטה</t>
        </is>
      </c>
    </row>
    <row r="8" ht="26" customHeight="1">
      <c r="A8" s="41" t="inlineStr">
        <is>
          <t>04_ETL</t>
        </is>
      </c>
      <c r="B8" s="41" t="inlineStr">
        <is>
          <t>H8</t>
        </is>
      </c>
      <c r="C8" s="41" t="inlineStr">
        <is>
          <t>סיווג אוטומטי לפי מפתח המיפוי — מחזיר את הסעיף של מילת המפתח הראשונה שנמצאה</t>
        </is>
      </c>
      <c r="D8" s="42" t="inlineStr">
        <is>
          <t>=IFERROR(INDEX(מפתח[סעיף],SUMPRODUCT(MATCH(1,--ISNUMBER(SEARCH(מפתח[מילת_מפתח],G8)),0))),"לא מסווג")</t>
        </is>
      </c>
      <c r="E8" s="41" t="inlineStr">
        <is>
          <t>למטה</t>
        </is>
      </c>
    </row>
    <row r="9" ht="18" customHeight="1">
      <c r="A9" s="41" t="inlineStr">
        <is>
          <t>04_ETL</t>
        </is>
      </c>
      <c r="B9" s="41" t="inlineStr">
        <is>
          <t>I8</t>
        </is>
      </c>
      <c r="C9" s="41" t="inlineStr">
        <is>
          <t>זיהוי כפילות — אותה אסמכתא, אותו סכום, אותו תאריך מופיעים יותר מפעם אחת</t>
        </is>
      </c>
      <c r="D9" s="42" t="inlineStr">
        <is>
          <t>=IF(COUNTIFS($D$8:$D$108,D8,$F$8:$F$108,F8,$E$8:$E$108,E8)&gt;1,"כפילות","")</t>
        </is>
      </c>
      <c r="E9" s="41" t="inlineStr">
        <is>
          <t>למטה</t>
        </is>
      </c>
    </row>
    <row r="10" ht="18" customHeight="1">
      <c r="A10" s="41" t="inlineStr">
        <is>
          <t>04_ETL</t>
        </is>
      </c>
      <c r="B10" s="41" t="inlineStr">
        <is>
          <t>B112</t>
        </is>
      </c>
      <c r="C10" s="41" t="inlineStr">
        <is>
          <t>שורות שנקלטו</t>
        </is>
      </c>
      <c r="D10" s="42" t="inlineStr">
        <is>
          <t>=COUNTA(D8:D108)</t>
        </is>
      </c>
      <c r="E10" s="41" t="inlineStr">
        <is>
          <t>תא בודד</t>
        </is>
      </c>
    </row>
    <row r="11" ht="18" customHeight="1">
      <c r="A11" s="41" t="inlineStr">
        <is>
          <t>04_ETL</t>
        </is>
      </c>
      <c r="B11" s="41" t="inlineStr">
        <is>
          <t>B113</t>
        </is>
      </c>
      <c r="C11" s="41" t="inlineStr">
        <is>
          <t>שורות שלא סווגו</t>
        </is>
      </c>
      <c r="D11" s="42" t="inlineStr">
        <is>
          <t>=COUNTIF(H8:H108,"לא מסווג")</t>
        </is>
      </c>
      <c r="E11" s="41" t="inlineStr">
        <is>
          <t>תא בודד</t>
        </is>
      </c>
    </row>
    <row r="12" ht="18" customHeight="1">
      <c r="A12" s="41" t="inlineStr">
        <is>
          <t>04_ETL</t>
        </is>
      </c>
      <c r="B12" s="41" t="inlineStr">
        <is>
          <t>B114</t>
        </is>
      </c>
      <c r="C12" s="41" t="inlineStr">
        <is>
          <t>שורות שסומנו ככפילות</t>
        </is>
      </c>
      <c r="D12" s="42" t="inlineStr">
        <is>
          <t>=COUNTIF(I8:I108,"כפילות")</t>
        </is>
      </c>
      <c r="E12" s="41" t="inlineStr">
        <is>
          <t>תא בודד</t>
        </is>
      </c>
    </row>
    <row r="13" ht="18" customHeight="1">
      <c r="A13" s="41" t="inlineStr">
        <is>
          <t>04_ETL</t>
        </is>
      </c>
      <c r="B13" s="41" t="inlineStr">
        <is>
          <t>B115</t>
        </is>
      </c>
      <c r="C13" s="41" t="inlineStr">
        <is>
          <t>סה"כ תקבולים בקובץ (ללא כפילויות)</t>
        </is>
      </c>
      <c r="D13" s="42" t="inlineStr">
        <is>
          <t>=SUMIFS(F8:F108,I8:I108,"",F8:F108,"&gt;0")</t>
        </is>
      </c>
      <c r="E13" s="41" t="inlineStr">
        <is>
          <t>תא בודד</t>
        </is>
      </c>
    </row>
    <row r="14" ht="18" customHeight="1">
      <c r="A14" s="41" t="inlineStr">
        <is>
          <t>04_ETL</t>
        </is>
      </c>
      <c r="B14" s="41" t="inlineStr">
        <is>
          <t>B116</t>
        </is>
      </c>
      <c r="C14" s="41" t="inlineStr">
        <is>
          <t>סה"כ תשלומים בקובץ (ללא כפילויות)</t>
        </is>
      </c>
      <c r="D14" s="42" t="inlineStr">
        <is>
          <t>=SUMIFS(F8:F108,I8:I108,"",F8:F108,"&lt;0")</t>
        </is>
      </c>
      <c r="E14" s="41" t="inlineStr">
        <is>
          <t>תא בודד</t>
        </is>
      </c>
    </row>
    <row r="15" ht="18" customHeight="1">
      <c r="A15" s="41" t="inlineStr">
        <is>
          <t>04_ETL</t>
        </is>
      </c>
      <c r="B15" s="41" t="inlineStr">
        <is>
          <t>B117</t>
        </is>
      </c>
      <c r="C15" s="41" t="inlineStr">
        <is>
          <t>סה"כ תשלומי מס בתקופה</t>
        </is>
      </c>
      <c r="D15" s="42" t="inlineStr">
        <is>
          <t>=SUMIFS(F8:F108,H8:H108,"תשלומי מס",I8:I108,"")</t>
        </is>
      </c>
      <c r="E15" s="41" t="inlineStr">
        <is>
          <t>תא בודד</t>
        </is>
      </c>
    </row>
    <row r="16" ht="18" customHeight="1">
      <c r="A16" s="41" t="inlineStr">
        <is>
          <t>04_ETL</t>
        </is>
      </c>
      <c r="B16" s="41" t="inlineStr">
        <is>
          <t>B118</t>
        </is>
      </c>
      <c r="C16" s="41" t="inlineStr">
        <is>
          <t>סה"כ משיכות בעלים ← דגל 3(ט1)</t>
        </is>
      </c>
      <c r="D16" s="42" t="inlineStr">
        <is>
          <t>=SUMIFS(F8:F108,H8:H108,"יתרת בעלים",I8:I108,"")</t>
        </is>
      </c>
      <c r="E16" s="41" t="inlineStr">
        <is>
          <t>תא בודד</t>
        </is>
      </c>
    </row>
    <row r="17" ht="26" customHeight="1">
      <c r="A17" s="41" t="inlineStr">
        <is>
          <t>10_בקרה_תקציבית</t>
        </is>
      </c>
      <c r="B17" s="41" t="inlineStr">
        <is>
          <t>C8</t>
        </is>
      </c>
      <c r="C17" s="41" t="inlineStr">
        <is>
          <t>תקציב לתקופה ולמחלקה הנבחרת</t>
        </is>
      </c>
      <c r="D17" s="42" t="inlineStr">
        <is>
          <t>=SUMIFS(תקציב[תקציב],תקציב[סעיף],$A8,תקציב[חודש_מספר],"&gt;="&amp;$B$4,תקציב[חודש_מספר],"&lt;="&amp;$B$5,תקציב[מחלקה],IF($B$3="הכל","*",$B$3))</t>
        </is>
      </c>
      <c r="E17" s="41" t="inlineStr">
        <is>
          <t>למטה</t>
        </is>
      </c>
    </row>
    <row r="18" ht="26" customHeight="1">
      <c r="A18" s="41" t="inlineStr">
        <is>
          <t>10_בקרה_תקציבית</t>
        </is>
      </c>
      <c r="B18" s="41" t="inlineStr">
        <is>
          <t>D8</t>
        </is>
      </c>
      <c r="C18" s="41" t="inlineStr">
        <is>
          <t>ביצוע בפועל לאותה תקופה ומחלקה</t>
        </is>
      </c>
      <c r="D18" s="42" t="inlineStr">
        <is>
          <t>=SUMIFS(הנהח[סכום],הנהח[סעיף],$A8,הנהח[חודש],"&gt;="&amp;$B$4,הנהח[חודש],"&lt;="&amp;$B$5,הנהח[מחלקה],IF($B$3="הכל","*",$B$3))</t>
        </is>
      </c>
      <c r="E18" s="41" t="inlineStr">
        <is>
          <t>למטה</t>
        </is>
      </c>
    </row>
    <row r="19" ht="18" customHeight="1">
      <c r="A19" s="41" t="inlineStr">
        <is>
          <t>10_בקרה_תקציבית</t>
        </is>
      </c>
      <c r="B19" s="41" t="inlineStr">
        <is>
          <t>E8</t>
        </is>
      </c>
      <c r="C19" s="41" t="inlineStr">
        <is>
          <t>סטייה בשקלים</t>
        </is>
      </c>
      <c r="D19" s="42" t="inlineStr">
        <is>
          <t>=D8-C8</t>
        </is>
      </c>
      <c r="E19" s="41" t="inlineStr">
        <is>
          <t>למטה</t>
        </is>
      </c>
    </row>
    <row r="20" ht="18" customHeight="1">
      <c r="A20" s="41" t="inlineStr">
        <is>
          <t>10_בקרה_תקציבית</t>
        </is>
      </c>
      <c r="B20" s="41" t="inlineStr">
        <is>
          <t>F8</t>
        </is>
      </c>
      <c r="C20" s="41" t="inlineStr">
        <is>
          <t>סטייה באחוזים, מוגן מחלוקה באפס</t>
        </is>
      </c>
      <c r="D20" s="42" t="inlineStr">
        <is>
          <t>=IFERROR(E8/C8,0)</t>
        </is>
      </c>
      <c r="E20" s="41" t="inlineStr">
        <is>
          <t>למטה</t>
        </is>
      </c>
    </row>
    <row r="21" ht="26" customHeight="1">
      <c r="A21" s="41" t="inlineStr">
        <is>
          <t>10_בקרה_תקציבית</t>
        </is>
      </c>
      <c r="B21" s="41" t="inlineStr">
        <is>
          <t>G8</t>
        </is>
      </c>
      <c r="C21" s="41" t="inlineStr">
        <is>
          <t>התראה: חריגה מהותית מעל 10% לכל כיוון</t>
        </is>
      </c>
      <c r="D21" s="42" t="inlineStr">
        <is>
          <t>=IF(ABS(F8)&gt;10%,IF(B8="הכנסות",IF(F8&lt;0,"פספוס הכנסה","מעל היעד"),IF(F8&gt;0,"חריגה","חיסכון")),"")</t>
        </is>
      </c>
      <c r="E21" s="41" t="inlineStr">
        <is>
          <t>למטה</t>
        </is>
      </c>
    </row>
    <row r="22" ht="26" customHeight="1">
      <c r="A22" s="41" t="inlineStr">
        <is>
          <t>10_בקרה_תקציבית</t>
        </is>
      </c>
      <c r="B22" s="41" t="inlineStr">
        <is>
          <t>H8</t>
        </is>
      </c>
      <c r="C22" s="41" t="inlineStr">
        <is>
          <t>משקל הסעיף מתוך המחזור בפועל</t>
        </is>
      </c>
      <c r="D22" s="42" t="inlineStr">
        <is>
          <t>=IFERROR(D8/SUMIFS(הנהח[סכום],הנהח[קבוצה],"הכנסות",הנהח[חודש],"&gt;="&amp;$B$4,הנהח[חודש],"&lt;="&amp;$B$5,הנהח[מחלקה],IF($B$3="הכל","*",$B$3)),0)</t>
        </is>
      </c>
      <c r="E22" s="41" t="inlineStr">
        <is>
          <t>למטה</t>
        </is>
      </c>
    </row>
    <row r="23" ht="26" customHeight="1">
      <c r="A23" s="41" t="inlineStr">
        <is>
          <t>10_בקרה_תקציבית</t>
        </is>
      </c>
      <c r="B23" s="41" t="inlineStr">
        <is>
          <t>B24</t>
        </is>
      </c>
      <c r="C23" s="41" t="inlineStr">
        <is>
          <t>מחזור בפועל</t>
        </is>
      </c>
      <c r="D23" s="42" t="inlineStr">
        <is>
          <t>=SUMIFS(הנהח[סכום],הנהח[קבוצה],"הכנסות",הנהח[חודש],"&gt;="&amp;$B$4,הנהח[חודש],"&lt;="&amp;$B$5,הנהח[מחלקה],IF($B$3="הכל","*",$B$3))</t>
        </is>
      </c>
      <c r="E23" s="41" t="inlineStr">
        <is>
          <t>תא בודד</t>
        </is>
      </c>
    </row>
    <row r="24" ht="26" customHeight="1">
      <c r="A24" s="41" t="inlineStr">
        <is>
          <t>10_בקרה_תקציבית</t>
        </is>
      </c>
      <c r="B24" s="41" t="inlineStr">
        <is>
          <t>B25</t>
        </is>
      </c>
      <c r="C24" s="41" t="inlineStr">
        <is>
          <t>עלות המכר בפועל</t>
        </is>
      </c>
      <c r="D24" s="42" t="inlineStr">
        <is>
          <t>=SUMIFS(הנהח[סכום],הנהח[קבוצה],"עלות המכר",הנהח[חודש],"&gt;="&amp;$B$4,הנהח[חודש],"&lt;="&amp;$B$5,הנהח[מחלקה],IF($B$3="הכל","*",$B$3))</t>
        </is>
      </c>
      <c r="E24" s="41" t="inlineStr">
        <is>
          <t>תא בודד</t>
        </is>
      </c>
    </row>
    <row r="25" ht="18" customHeight="1">
      <c r="A25" s="41" t="inlineStr">
        <is>
          <t>10_בקרה_תקציבית</t>
        </is>
      </c>
      <c r="B25" s="41" t="inlineStr">
        <is>
          <t>B26</t>
        </is>
      </c>
      <c r="C25" s="41" t="inlineStr">
        <is>
          <t>רווח גולמי</t>
        </is>
      </c>
      <c r="D25" s="42" t="inlineStr">
        <is>
          <t>=B24-B25</t>
        </is>
      </c>
      <c r="E25" s="41" t="inlineStr">
        <is>
          <t>תא בודד</t>
        </is>
      </c>
    </row>
    <row r="26" ht="18" customHeight="1">
      <c r="A26" s="41" t="inlineStr">
        <is>
          <t>10_בקרה_תקציבית</t>
        </is>
      </c>
      <c r="B26" s="41" t="inlineStr">
        <is>
          <t>B27</t>
        </is>
      </c>
      <c r="C26" s="41" t="inlineStr">
        <is>
          <t>שיעור רווח גולמי</t>
        </is>
      </c>
      <c r="D26" s="42" t="inlineStr">
        <is>
          <t>=IFERROR(B26/B24,0)</t>
        </is>
      </c>
      <c r="E26" s="41" t="inlineStr">
        <is>
          <t>תא בודד</t>
        </is>
      </c>
    </row>
    <row r="27" ht="52" customHeight="1">
      <c r="A27" s="41" t="inlineStr">
        <is>
          <t>10_בקרה_תקציבית</t>
        </is>
      </c>
      <c r="B27" s="41" t="inlineStr">
        <is>
          <t>B28</t>
        </is>
      </c>
      <c r="C27" s="41" t="inlineStr">
        <is>
          <t>שיעור רווח גולמי בתקציב</t>
        </is>
      </c>
      <c r="D27" s="42" t="inlineStr">
        <is>
          <t>=IFERROR((SUMIFS(תקציב[תקציב],תקציב[קבוצה],"הכנסות",תקציב[חודש_מספר],"&gt;="&amp;$B$4,תקציב[חודש_מספר],"&lt;="&amp;$B$5)-SUMIFS(תקציב[תקציב],תקציב[קבוצה],"עלות המכר",תקציב[חודש_מספר],"&gt;="&amp;$B$4,תקציב[חודש_מספר],"&lt;="&amp;$B$5))/SUMIFS(תקציב[תקציב],תקציב[קבוצה],"הכנסות",תקציב[חודש_מספר],"&gt;="&amp;$B$4,תקציב[חודש_מספר],"&lt;="&amp;$B$5),0)</t>
        </is>
      </c>
      <c r="E27" s="41" t="inlineStr">
        <is>
          <t>תא בודד</t>
        </is>
      </c>
    </row>
    <row r="28" ht="18" customHeight="1">
      <c r="A28" s="41" t="inlineStr">
        <is>
          <t>10_בקרה_תקציבית</t>
        </is>
      </c>
      <c r="B28" s="41" t="inlineStr">
        <is>
          <t>B29</t>
        </is>
      </c>
      <c r="C28" s="41" t="inlineStr">
        <is>
          <t>פער שיעור הרווח הגולמי (נקודות אחוז)</t>
        </is>
      </c>
      <c r="D28" s="42" t="inlineStr">
        <is>
          <t>=B27-B28</t>
        </is>
      </c>
      <c r="E28" s="41" t="inlineStr">
        <is>
          <t>תא בודד</t>
        </is>
      </c>
    </row>
    <row r="29" ht="26" customHeight="1">
      <c r="A29" s="41" t="inlineStr">
        <is>
          <t>10_בקרה_תקציבית</t>
        </is>
      </c>
      <c r="B29" s="41" t="inlineStr">
        <is>
          <t>B30</t>
        </is>
      </c>
      <c r="C29" s="41" t="inlineStr">
        <is>
          <t>רווח תפעולי בפועל</t>
        </is>
      </c>
      <c r="D29" s="42" t="inlineStr">
        <is>
          <t>=B26-SUMIFS(הנהח[סכום],הנהח[קבוצה],"הוצאות תפעול",הנהח[חודש],"&gt;="&amp;$B$4,הנהח[חודש],"&lt;="&amp;$B$5,הנהח[מחלקה],IF($B$3="הכל","*",$B$3))</t>
        </is>
      </c>
      <c r="E29" s="41" t="inlineStr">
        <is>
          <t>תא בודד</t>
        </is>
      </c>
    </row>
    <row r="30" ht="18" customHeight="1">
      <c r="A30" s="41" t="inlineStr">
        <is>
          <t>11_פער_מחיר_כמות</t>
        </is>
      </c>
      <c r="B30" s="41" t="inlineStr">
        <is>
          <t>B12</t>
        </is>
      </c>
      <c r="C30" s="41" t="inlineStr">
        <is>
          <t>סכום עמודה</t>
        </is>
      </c>
      <c r="D30" s="42" t="inlineStr">
        <is>
          <t>=SUM(B8:B11)</t>
        </is>
      </c>
      <c r="E30" s="41" t="inlineStr">
        <is>
          <t>למטה</t>
        </is>
      </c>
    </row>
    <row r="31" ht="18" customHeight="1">
      <c r="A31" s="41" t="inlineStr">
        <is>
          <t>11_פער_מחיר_כמות</t>
        </is>
      </c>
      <c r="B31" s="41" t="inlineStr">
        <is>
          <t>D12</t>
        </is>
      </c>
      <c r="C31" s="41" t="inlineStr">
        <is>
          <t>סכום עמודה</t>
        </is>
      </c>
      <c r="D31" s="42" t="inlineStr">
        <is>
          <t>=SUM(D8:D11)</t>
        </is>
      </c>
      <c r="E31" s="41" t="inlineStr">
        <is>
          <t>למטה</t>
        </is>
      </c>
    </row>
    <row r="32" ht="18" customHeight="1">
      <c r="A32" s="41" t="inlineStr">
        <is>
          <t>11_פער_מחיר_כמות</t>
        </is>
      </c>
      <c r="B32" s="41" t="inlineStr">
        <is>
          <t>E12</t>
        </is>
      </c>
      <c r="C32" s="41" t="inlineStr">
        <is>
          <t>סכום עמודה</t>
        </is>
      </c>
      <c r="D32" s="42" t="inlineStr">
        <is>
          <t>=SUM(E8:E11)</t>
        </is>
      </c>
      <c r="E32" s="41" t="inlineStr">
        <is>
          <t>למטה</t>
        </is>
      </c>
    </row>
    <row r="33" ht="18" customHeight="1">
      <c r="A33" s="41" t="inlineStr">
        <is>
          <t>11_פער_מחיר_כמות</t>
        </is>
      </c>
      <c r="B33" s="41" t="inlineStr">
        <is>
          <t>G12</t>
        </is>
      </c>
      <c r="C33" s="41" t="inlineStr">
        <is>
          <t>סכום עמודה</t>
        </is>
      </c>
      <c r="D33" s="42" t="inlineStr">
        <is>
          <t>=SUM(G8:G11)</t>
        </is>
      </c>
      <c r="E33" s="41" t="inlineStr">
        <is>
          <t>למטה</t>
        </is>
      </c>
    </row>
    <row r="34" ht="18" customHeight="1">
      <c r="A34" s="41" t="inlineStr">
        <is>
          <t>11_פער_מחיר_כמות</t>
        </is>
      </c>
      <c r="B34" s="41" t="inlineStr">
        <is>
          <t>H12</t>
        </is>
      </c>
      <c r="C34" s="41" t="inlineStr">
        <is>
          <t>סכום עמודה</t>
        </is>
      </c>
      <c r="D34" s="42" t="inlineStr">
        <is>
          <t>=SUM(H8:H11)</t>
        </is>
      </c>
      <c r="E34" s="41" t="inlineStr">
        <is>
          <t>למטה</t>
        </is>
      </c>
    </row>
    <row r="35" ht="18" customHeight="1">
      <c r="A35" s="41" t="inlineStr">
        <is>
          <t>11_פער_מחיר_כמות</t>
        </is>
      </c>
      <c r="B35" s="41" t="inlineStr">
        <is>
          <t>I12</t>
        </is>
      </c>
      <c r="C35" s="41" t="inlineStr">
        <is>
          <t>סכום עמודה</t>
        </is>
      </c>
      <c r="D35" s="42" t="inlineStr">
        <is>
          <t>=SUM(I8:I11)</t>
        </is>
      </c>
      <c r="E35" s="41" t="inlineStr">
        <is>
          <t>למטה</t>
        </is>
      </c>
    </row>
    <row r="36" ht="18" customHeight="1">
      <c r="A36" s="41" t="inlineStr">
        <is>
          <t>11_פער_מחיר_כמות</t>
        </is>
      </c>
      <c r="B36" s="41" t="inlineStr">
        <is>
          <t>J12</t>
        </is>
      </c>
      <c r="C36" s="41" t="inlineStr">
        <is>
          <t>סכום עמודה</t>
        </is>
      </c>
      <c r="D36" s="42" t="inlineStr">
        <is>
          <t>=SUM(J8:J11)</t>
        </is>
      </c>
      <c r="E36" s="41" t="inlineStr">
        <is>
          <t>למטה</t>
        </is>
      </c>
    </row>
    <row r="37" ht="18" customHeight="1">
      <c r="A37" s="41" t="inlineStr">
        <is>
          <t>11_פער_מחיר_כמות</t>
        </is>
      </c>
      <c r="B37" s="41" t="inlineStr">
        <is>
          <t>K12</t>
        </is>
      </c>
      <c r="C37" s="41" t="inlineStr">
        <is>
          <t>סכום עמודה</t>
        </is>
      </c>
      <c r="D37" s="42" t="inlineStr">
        <is>
          <t>=SUM(K8:K11)</t>
        </is>
      </c>
      <c r="E37" s="41" t="inlineStr">
        <is>
          <t>למטה</t>
        </is>
      </c>
    </row>
    <row r="38" ht="18" customHeight="1">
      <c r="A38" s="41" t="inlineStr">
        <is>
          <t>11_פער_מחיר_כמות</t>
        </is>
      </c>
      <c r="B38" s="41" t="inlineStr">
        <is>
          <t>D8</t>
        </is>
      </c>
      <c r="C38" s="41" t="inlineStr">
        <is>
          <t>הכנסה מתוכננת</t>
        </is>
      </c>
      <c r="D38" s="42" t="inlineStr">
        <is>
          <t>=B8*C8</t>
        </is>
      </c>
      <c r="E38" s="41" t="inlineStr">
        <is>
          <t>למטה</t>
        </is>
      </c>
    </row>
    <row r="39" ht="18" customHeight="1">
      <c r="A39" s="41" t="inlineStr">
        <is>
          <t>11_פער_מחיר_כמות</t>
        </is>
      </c>
      <c r="B39" s="41" t="inlineStr">
        <is>
          <t>G8</t>
        </is>
      </c>
      <c r="C39" s="41" t="inlineStr">
        <is>
          <t>הכנסה בפועל</t>
        </is>
      </c>
      <c r="D39" s="42" t="inlineStr">
        <is>
          <t>=E8*F8</t>
        </is>
      </c>
      <c r="E39" s="41" t="inlineStr">
        <is>
          <t>למטה</t>
        </is>
      </c>
    </row>
    <row r="40" ht="18" customHeight="1">
      <c r="A40" s="41" t="inlineStr">
        <is>
          <t>11_פער_מחיר_כמות</t>
        </is>
      </c>
      <c r="B40" s="41" t="inlineStr">
        <is>
          <t>H8</t>
        </is>
      </c>
      <c r="C40" s="41" t="inlineStr">
        <is>
          <t>סטייה כוללת</t>
        </is>
      </c>
      <c r="D40" s="42" t="inlineStr">
        <is>
          <t>=G8-D8</t>
        </is>
      </c>
      <c r="E40" s="41" t="inlineStr">
        <is>
          <t>למטה</t>
        </is>
      </c>
    </row>
    <row r="41" ht="18" customHeight="1">
      <c r="A41" s="41" t="inlineStr">
        <is>
          <t>11_פער_מחיר_כמות</t>
        </is>
      </c>
      <c r="B41" s="41" t="inlineStr">
        <is>
          <t>I8</t>
        </is>
      </c>
      <c r="C41" s="41" t="inlineStr">
        <is>
          <t>פער מחיר = שינוי המחיר כפול הכמות בפועל</t>
        </is>
      </c>
      <c r="D41" s="42" t="inlineStr">
        <is>
          <t>=(F8-C8)*E8</t>
        </is>
      </c>
      <c r="E41" s="41" t="inlineStr">
        <is>
          <t>למטה</t>
        </is>
      </c>
    </row>
    <row r="42" ht="18" customHeight="1">
      <c r="A42" s="41" t="inlineStr">
        <is>
          <t>11_פער_מחיר_כמות</t>
        </is>
      </c>
      <c r="B42" s="41" t="inlineStr">
        <is>
          <t>J8</t>
        </is>
      </c>
      <c r="C42" s="41" t="inlineStr">
        <is>
          <t>פער כמות טהור = גידול בכמות הכוללת, בתמהיל התקציבי המקורי</t>
        </is>
      </c>
      <c r="D42" s="42" t="inlineStr">
        <is>
          <t>=($E$12-$B$12)*(B8/$B$12)*C8</t>
        </is>
      </c>
      <c r="E42" s="41" t="inlineStr">
        <is>
          <t>למטה</t>
        </is>
      </c>
    </row>
    <row r="43" ht="18" customHeight="1">
      <c r="A43" s="41" t="inlineStr">
        <is>
          <t>11_פער_מחיר_כמות</t>
        </is>
      </c>
      <c r="B43" s="41" t="inlineStr">
        <is>
          <t>K8</t>
        </is>
      </c>
      <c r="C43" s="41" t="inlineStr">
        <is>
          <t>פער תמהיל = מכרנו יותר מהמוצר הזה על חשבון אחר, במחירי תקציב</t>
        </is>
      </c>
      <c r="D43" s="42" t="inlineStr">
        <is>
          <t>=(E8-$E$12*(B8/$B$12))*C8</t>
        </is>
      </c>
      <c r="E43" s="41" t="inlineStr">
        <is>
          <t>למטה</t>
        </is>
      </c>
    </row>
    <row r="44" ht="18" customHeight="1">
      <c r="A44" s="41" t="inlineStr">
        <is>
          <t>20_הון_חוזר</t>
        </is>
      </c>
      <c r="B44" s="41" t="inlineStr">
        <is>
          <t>G8</t>
        </is>
      </c>
      <c r="C44" s="41" t="inlineStr">
        <is>
          <t>DSO — ימי גבייה מלקוחות (יתרת לקוחות חלקי מחזור, כפול ימי החודש)</t>
        </is>
      </c>
      <c r="D44" s="42" t="inlineStr">
        <is>
          <t>=IFERROR(D8/B8*30,0)</t>
        </is>
      </c>
      <c r="E44" s="41" t="inlineStr">
        <is>
          <t>למטה</t>
        </is>
      </c>
    </row>
    <row r="45" ht="18" customHeight="1">
      <c r="A45" s="41" t="inlineStr">
        <is>
          <t>20_הון_חוזר</t>
        </is>
      </c>
      <c r="B45" s="41" t="inlineStr">
        <is>
          <t>H8</t>
        </is>
      </c>
      <c r="C45" s="41" t="inlineStr">
        <is>
          <t>DPO — ימי אשראי ספקים</t>
        </is>
      </c>
      <c r="D45" s="42" t="inlineStr">
        <is>
          <t>=IFERROR(E8/C8*30,0)</t>
        </is>
      </c>
      <c r="E45" s="41" t="inlineStr">
        <is>
          <t>למטה</t>
        </is>
      </c>
    </row>
    <row r="46" ht="18" customHeight="1">
      <c r="A46" s="41" t="inlineStr">
        <is>
          <t>20_הון_חוזר</t>
        </is>
      </c>
      <c r="B46" s="41" t="inlineStr">
        <is>
          <t>I8</t>
        </is>
      </c>
      <c r="C46" s="41" t="inlineStr">
        <is>
          <t>DIO — ימי מלאי</t>
        </is>
      </c>
      <c r="D46" s="42" t="inlineStr">
        <is>
          <t>=IFERROR(F8/C8*30,0)</t>
        </is>
      </c>
      <c r="E46" s="41" t="inlineStr">
        <is>
          <t>למטה</t>
        </is>
      </c>
    </row>
    <row r="47" ht="18" customHeight="1">
      <c r="A47" s="41" t="inlineStr">
        <is>
          <t>20_הון_חוזר</t>
        </is>
      </c>
      <c r="B47" s="41" t="inlineStr">
        <is>
          <t>J8</t>
        </is>
      </c>
      <c r="C47" s="41" t="inlineStr">
        <is>
          <t>מחזור המזומן</t>
        </is>
      </c>
      <c r="D47" s="42" t="inlineStr">
        <is>
          <t>=G8+I8-H8</t>
        </is>
      </c>
      <c r="E47" s="41" t="inlineStr">
        <is>
          <t>למטה</t>
        </is>
      </c>
    </row>
    <row r="48" ht="18" customHeight="1">
      <c r="A48" s="41" t="inlineStr">
        <is>
          <t>20_הון_חוזר</t>
        </is>
      </c>
      <c r="B48" s="41" t="inlineStr">
        <is>
          <t>B23</t>
        </is>
      </c>
      <c r="C48" s="41" t="inlineStr">
        <is>
          <t>ממוצע DSO שנתי (ימים)</t>
        </is>
      </c>
      <c r="D48" s="42" t="inlineStr">
        <is>
          <t>=AVERAGE(G8:G19)</t>
        </is>
      </c>
      <c r="E48" s="41" t="inlineStr">
        <is>
          <t>תא בודד</t>
        </is>
      </c>
    </row>
    <row r="49" ht="18" customHeight="1">
      <c r="A49" s="41" t="inlineStr">
        <is>
          <t>20_הון_חוזר</t>
        </is>
      </c>
      <c r="B49" s="41" t="inlineStr">
        <is>
          <t>B24</t>
        </is>
      </c>
      <c r="C49" s="41" t="inlineStr">
        <is>
          <t>ממוצע CCC שנתי (ימים)</t>
        </is>
      </c>
      <c r="D49" s="42" t="inlineStr">
        <is>
          <t>=AVERAGE(J8:J19)</t>
        </is>
      </c>
      <c r="E49" s="41" t="inlineStr">
        <is>
          <t>תא בודד</t>
        </is>
      </c>
    </row>
    <row r="50" ht="18" customHeight="1">
      <c r="A50" s="41" t="inlineStr">
        <is>
          <t>20_הון_חוזר</t>
        </is>
      </c>
      <c r="B50" s="41" t="inlineStr">
        <is>
          <t>B25</t>
        </is>
      </c>
      <c r="C50" s="41" t="inlineStr">
        <is>
          <t>מחזור יומי ממוצע</t>
        </is>
      </c>
      <c r="D50" s="42" t="inlineStr">
        <is>
          <t>=SUM(B8:B19)/365</t>
        </is>
      </c>
      <c r="E50" s="41" t="inlineStr">
        <is>
          <t>תא בודד</t>
        </is>
      </c>
    </row>
    <row r="51" ht="18" customHeight="1">
      <c r="A51" s="41" t="inlineStr">
        <is>
          <t>20_הון_חוזר</t>
        </is>
      </c>
      <c r="B51" s="41" t="inlineStr">
        <is>
          <t>B26</t>
        </is>
      </c>
      <c r="C51" s="41" t="inlineStr">
        <is>
          <t>שווי קיצור יום גבייה אחד</t>
        </is>
      </c>
      <c r="D51" s="42" t="inlineStr">
        <is>
          <t>=B25</t>
        </is>
      </c>
      <c r="E51" s="41" t="inlineStr">
        <is>
          <t>תא בודד</t>
        </is>
      </c>
    </row>
    <row r="52" ht="18" customHeight="1">
      <c r="A52" s="41" t="inlineStr">
        <is>
          <t>20_הון_חוזר</t>
        </is>
      </c>
      <c r="B52" s="41" t="inlineStr">
        <is>
          <t>B28</t>
        </is>
      </c>
      <c r="C52" s="41" t="inlineStr">
        <is>
          <t>מזומן שישתחרר מיד</t>
        </is>
      </c>
      <c r="D52" s="42" t="inlineStr">
        <is>
          <t>=B25*B27</t>
        </is>
      </c>
      <c r="E52" s="41" t="inlineStr">
        <is>
          <t>תא בודד</t>
        </is>
      </c>
    </row>
    <row r="53" ht="18" customHeight="1">
      <c r="A53" s="41" t="inlineStr">
        <is>
          <t>20_הון_חוזר</t>
        </is>
      </c>
      <c r="B53" s="41" t="inlineStr">
        <is>
          <t>B29</t>
        </is>
      </c>
      <c r="C53" s="41" t="inlineStr">
        <is>
          <t>חיסכון ריבית שנתי בריבית 8%</t>
        </is>
      </c>
      <c r="D53" s="42" t="inlineStr">
        <is>
          <t>=B28*8%</t>
        </is>
      </c>
      <c r="E53" s="41" t="inlineStr">
        <is>
          <t>תא בודד</t>
        </is>
      </c>
    </row>
    <row r="54" ht="26" customHeight="1">
      <c r="A54" s="41" t="inlineStr">
        <is>
          <t>30_תזרים_13</t>
        </is>
      </c>
      <c r="B54" s="41" t="inlineStr">
        <is>
          <t>C30</t>
        </is>
      </c>
      <c r="C54" s="41" t="inlineStr">
        <is>
          <t>סה"כ תקבולים בשבוע, כולל מתג התרחיש ומסנן הוודאות בתרחיש הפסימי</t>
        </is>
      </c>
      <c r="D54" s="42" t="inlineStr">
        <is>
          <t>=SUMPRODUCT((C$12:C$29&gt;0)*C$12:C$29*IF($B$7="פסימי",($B$12:$B$29&gt;=4)*1,1))*IF($B$7="אופטימי",1.1,IF($B$7="פסימי",0.85,1))</t>
        </is>
      </c>
      <c r="E54" s="41" t="inlineStr">
        <is>
          <t>ימינה</t>
        </is>
      </c>
    </row>
    <row r="55" ht="18" customHeight="1">
      <c r="A55" s="41" t="inlineStr">
        <is>
          <t>30_תזרים_13</t>
        </is>
      </c>
      <c r="B55" s="41" t="inlineStr">
        <is>
          <t>C31</t>
        </is>
      </c>
      <c r="C55" s="41" t="inlineStr">
        <is>
          <t>סה"כ תשלומים בשבוע (מספר שלילי). תשלומי מס ושכר משולמים בכל תרחיש</t>
        </is>
      </c>
      <c r="D55" s="42" t="inlineStr">
        <is>
          <t>=SUMPRODUCT((C$12:C$29&lt;0)*C$12:C$29)</t>
        </is>
      </c>
      <c r="E55" s="41" t="inlineStr">
        <is>
          <t>ימינה</t>
        </is>
      </c>
    </row>
    <row r="56" ht="18" customHeight="1">
      <c r="A56" s="41" t="inlineStr">
        <is>
          <t>30_תזרים_13</t>
        </is>
      </c>
      <c r="B56" s="41" t="inlineStr">
        <is>
          <t>C32</t>
        </is>
      </c>
      <c r="C56" s="41" t="inlineStr">
        <is>
          <t>תזרים נטו</t>
        </is>
      </c>
      <c r="D56" s="42" t="inlineStr">
        <is>
          <t>=C30+C31</t>
        </is>
      </c>
      <c r="E56" s="41" t="inlineStr">
        <is>
          <t>ימינה</t>
        </is>
      </c>
    </row>
    <row r="57" ht="18" customHeight="1">
      <c r="A57" s="41" t="inlineStr">
        <is>
          <t>30_תזרים_13</t>
        </is>
      </c>
      <c r="B57" s="41" t="inlineStr">
        <is>
          <t>C33</t>
        </is>
      </c>
      <c r="C57" s="41" t="inlineStr">
        <is>
          <t>יתרת פתיחה: בשבוע 1 מהתא B8, אחר כך הסגירה של השבוע הקודם</t>
        </is>
      </c>
      <c r="D57" s="42" t="inlineStr">
        <is>
          <t>=IF(COLUMN()=3,$B$8,B34)</t>
        </is>
      </c>
      <c r="E57" s="41" t="inlineStr">
        <is>
          <t>ימינה</t>
        </is>
      </c>
    </row>
    <row r="58" ht="18" customHeight="1">
      <c r="A58" s="41" t="inlineStr">
        <is>
          <t>30_תזרים_13</t>
        </is>
      </c>
      <c r="B58" s="41" t="inlineStr">
        <is>
          <t>C34</t>
        </is>
      </c>
      <c r="C58" s="41" t="inlineStr">
        <is>
          <t>יתרת סגירה</t>
        </is>
      </c>
      <c r="D58" s="42" t="inlineStr">
        <is>
          <t>=C33+C32</t>
        </is>
      </c>
      <c r="E58" s="41" t="inlineStr">
        <is>
          <t>ימינה</t>
        </is>
      </c>
    </row>
    <row r="59" ht="18" customHeight="1">
      <c r="A59" s="41" t="inlineStr">
        <is>
          <t>30_תזרים_13</t>
        </is>
      </c>
      <c r="B59" s="41" t="inlineStr">
        <is>
          <t>C35</t>
        </is>
      </c>
      <c r="C59" s="41" t="inlineStr">
        <is>
          <t>ניצול מסגרת: כמה מהמסגרת נאכל אם היתרה שלילית</t>
        </is>
      </c>
      <c r="D59" s="42" t="inlineStr">
        <is>
          <t>=MAX(0,-C34)</t>
        </is>
      </c>
      <c r="E59" s="41" t="inlineStr">
        <is>
          <t>ימינה</t>
        </is>
      </c>
    </row>
    <row r="60" ht="18" customHeight="1">
      <c r="A60" s="41" t="inlineStr">
        <is>
          <t>30_תזרים_13</t>
        </is>
      </c>
      <c r="B60" s="41" t="inlineStr">
        <is>
          <t>C36</t>
        </is>
      </c>
      <c r="C60" s="41" t="inlineStr">
        <is>
          <t>סטטוס רמזור</t>
        </is>
      </c>
      <c r="D60" s="42" t="inlineStr">
        <is>
          <t>=IF(C34&gt;=0,"תקין",IF(C35&lt;=$B$9,"מסגרת","חריגה"))</t>
        </is>
      </c>
      <c r="E60" s="41" t="inlineStr">
        <is>
          <t>ימינה</t>
        </is>
      </c>
    </row>
    <row r="61" ht="18" customHeight="1">
      <c r="A61" s="41" t="inlineStr">
        <is>
          <t>30_תזרים_13</t>
        </is>
      </c>
      <c r="B61" s="41" t="inlineStr">
        <is>
          <t>P30</t>
        </is>
      </c>
      <c r="C61" s="41" t="inlineStr">
        <is>
          <t>סה"כ תקבולים ל-13 שבועות</t>
        </is>
      </c>
      <c r="D61" s="42" t="inlineStr">
        <is>
          <t>=SUM(C30:O30)</t>
        </is>
      </c>
      <c r="E61" s="41" t="inlineStr">
        <is>
          <t>תא בודד</t>
        </is>
      </c>
    </row>
    <row r="62" ht="18" customHeight="1">
      <c r="A62" s="41" t="inlineStr">
        <is>
          <t>30_תזרים_13</t>
        </is>
      </c>
      <c r="B62" s="41" t="inlineStr">
        <is>
          <t>P31</t>
        </is>
      </c>
      <c r="C62" s="41" t="inlineStr">
        <is>
          <t>סה"כ תשלומים ל-13 שבועות</t>
        </is>
      </c>
      <c r="D62" s="42" t="inlineStr">
        <is>
          <t>=SUM(C31:O31)</t>
        </is>
      </c>
      <c r="E62" s="41" t="inlineStr">
        <is>
          <t>תא בודד</t>
        </is>
      </c>
    </row>
    <row r="63" ht="18" customHeight="1">
      <c r="A63" s="41" t="inlineStr">
        <is>
          <t>30_תזרים_13</t>
        </is>
      </c>
      <c r="B63" s="41" t="inlineStr">
        <is>
          <t>P32</t>
        </is>
      </c>
      <c r="C63" s="41" t="inlineStr">
        <is>
          <t>תזרים נטו לרבעון</t>
        </is>
      </c>
      <c r="D63" s="42" t="inlineStr">
        <is>
          <t>=SUM(C32:O32)</t>
        </is>
      </c>
      <c r="E63" s="41" t="inlineStr">
        <is>
          <t>תא בודד</t>
        </is>
      </c>
    </row>
    <row r="64" ht="18" customHeight="1">
      <c r="A64" s="41" t="inlineStr">
        <is>
          <t>30_תזרים_13</t>
        </is>
      </c>
      <c r="B64" s="41" t="inlineStr">
        <is>
          <t>P33</t>
        </is>
      </c>
      <c r="C64" s="41" t="inlineStr">
        <is>
          <t>יתרת פתיחה לתקופה</t>
        </is>
      </c>
      <c r="D64" s="42" t="inlineStr">
        <is>
          <t>=C33</t>
        </is>
      </c>
      <c r="E64" s="41" t="inlineStr">
        <is>
          <t>תא בודד</t>
        </is>
      </c>
    </row>
    <row r="65" ht="18" customHeight="1">
      <c r="A65" s="41" t="inlineStr">
        <is>
          <t>30_תזרים_13</t>
        </is>
      </c>
      <c r="B65" s="41" t="inlineStr">
        <is>
          <t>P34</t>
        </is>
      </c>
      <c r="C65" s="41" t="inlineStr">
        <is>
          <t>יתרת סגירה בסוף הרבעון</t>
        </is>
      </c>
      <c r="D65" s="42" t="inlineStr">
        <is>
          <t>=O34</t>
        </is>
      </c>
      <c r="E65" s="41" t="inlineStr">
        <is>
          <t>תא בודד</t>
        </is>
      </c>
    </row>
    <row r="66" ht="18" customHeight="1">
      <c r="A66" s="41" t="inlineStr">
        <is>
          <t>30_תזרים_13</t>
        </is>
      </c>
      <c r="B66" s="41" t="inlineStr">
        <is>
          <t>P35</t>
        </is>
      </c>
      <c r="C66" s="41" t="inlineStr">
        <is>
          <t>ניצול המסגרת המרבי (השבוע הגרוע)</t>
        </is>
      </c>
      <c r="D66" s="42" t="inlineStr">
        <is>
          <t>=MAX(C35:O35)</t>
        </is>
      </c>
      <c r="E66" s="41" t="inlineStr">
        <is>
          <t>תא בודד</t>
        </is>
      </c>
    </row>
    <row r="67" ht="26" customHeight="1">
      <c r="A67" s="41" t="inlineStr">
        <is>
          <t>30_תזרים_13</t>
        </is>
      </c>
      <c r="B67" s="41" t="inlineStr">
        <is>
          <t>P36</t>
        </is>
      </c>
      <c r="C67" s="41" t="inlineStr">
        <is>
          <t>סטטוס הרבעון כולו</t>
        </is>
      </c>
      <c r="D67" s="42" t="inlineStr">
        <is>
          <t>=IF(COUNTIF(C36:O36,"חריגה")&gt;0,"חריגה ממסגרת",IF(COUNTIF(C36:O36,"מסגרת")&gt;0,"שימוש במסגרת","תקין"))</t>
        </is>
      </c>
      <c r="E67" s="41" t="inlineStr">
        <is>
          <t>תא בודד</t>
        </is>
      </c>
    </row>
    <row r="68" ht="18" customHeight="1">
      <c r="A68" s="41" t="inlineStr">
        <is>
          <t>40_רולינג</t>
        </is>
      </c>
      <c r="B68" s="41" t="inlineStr">
        <is>
          <t>B11</t>
        </is>
      </c>
      <c r="C68" s="41" t="inlineStr">
        <is>
          <t>תקציב מקורי — סך ההכנסות המתוקצבות לאותו חודש</t>
        </is>
      </c>
      <c r="D68" s="42" t="inlineStr">
        <is>
          <t>=SUMIFS(תקציב[תקציב],תקציב[קבוצה],"הכנסות",תקציב[חודש_מספר],COLUMN()-1)</t>
        </is>
      </c>
      <c r="E68" s="41" t="inlineStr">
        <is>
          <t>ימינה</t>
        </is>
      </c>
    </row>
    <row r="69" ht="18" customHeight="1">
      <c r="A69" s="41" t="inlineStr">
        <is>
          <t>40_רולינג</t>
        </is>
      </c>
      <c r="B69" s="41" t="inlineStr">
        <is>
          <t>B12</t>
        </is>
      </c>
      <c r="C69" s="41" t="inlineStr">
        <is>
          <t>ביצוע בפועל — מוצג רק לחודשים שנסגרו</t>
        </is>
      </c>
      <c r="D69" s="42" t="inlineStr">
        <is>
          <t>=IF(COLUMN()-1&lt;=$C$7,SUMIFS(הנהח[סכום],הנהח[קבוצה],"הכנסות",הנהח[חודש],COLUMN()-1),"")</t>
        </is>
      </c>
      <c r="E69" s="41" t="inlineStr">
        <is>
          <t>ימינה</t>
        </is>
      </c>
    </row>
    <row r="70" ht="18" customHeight="1">
      <c r="A70" s="41" t="inlineStr">
        <is>
          <t>40_רולינג</t>
        </is>
      </c>
      <c r="B70" s="41" t="inlineStr">
        <is>
          <t>B13</t>
        </is>
      </c>
      <c r="C70" s="41" t="inlineStr">
        <is>
          <t>התחזית המתגלגלת: אקטואל לחודשים סגורים, תקציב מתוקן להמשך</t>
        </is>
      </c>
      <c r="D70" s="42" t="inlineStr">
        <is>
          <t>=IF(COLUMN()-1&lt;=$C$7,B12,B11*$C$8)</t>
        </is>
      </c>
      <c r="E70" s="41" t="inlineStr">
        <is>
          <t>ימינה</t>
        </is>
      </c>
    </row>
    <row r="71" ht="18" customHeight="1">
      <c r="A71" s="41" t="inlineStr">
        <is>
          <t>40_רולינג</t>
        </is>
      </c>
      <c r="B71" s="41" t="inlineStr">
        <is>
          <t>B14</t>
        </is>
      </c>
      <c r="C71" s="41" t="inlineStr">
        <is>
          <t>פער התחזית מול קו הבסיס הנעול</t>
        </is>
      </c>
      <c r="D71" s="42" t="inlineStr">
        <is>
          <t>=B13-B11</t>
        </is>
      </c>
      <c r="E71" s="41" t="inlineStr">
        <is>
          <t>ימינה</t>
        </is>
      </c>
    </row>
    <row r="72" ht="18" customHeight="1">
      <c r="A72" s="41" t="inlineStr">
        <is>
          <t>40_רולינג</t>
        </is>
      </c>
      <c r="B72" s="41" t="inlineStr">
        <is>
          <t>B15</t>
        </is>
      </c>
      <c r="C72" s="41" t="inlineStr">
        <is>
          <t>אותו פער באחוזים</t>
        </is>
      </c>
      <c r="D72" s="42" t="inlineStr">
        <is>
          <t>=IFERROR(B14/B11,0)</t>
        </is>
      </c>
      <c r="E72" s="41" t="inlineStr">
        <is>
          <t>ימינה</t>
        </is>
      </c>
    </row>
    <row r="73" ht="18" customHeight="1">
      <c r="A73" s="41" t="inlineStr">
        <is>
          <t>40_רולינג</t>
        </is>
      </c>
      <c r="B73" s="41" t="inlineStr">
        <is>
          <t>N11</t>
        </is>
      </c>
      <c r="C73" s="41" t="inlineStr">
        <is>
          <t>קו בסיס שנתי (סכום התקציב)</t>
        </is>
      </c>
      <c r="D73" s="42" t="inlineStr">
        <is>
          <t>=SUM(B11:M11)</t>
        </is>
      </c>
      <c r="E73" s="41" t="inlineStr">
        <is>
          <t>ימינה</t>
        </is>
      </c>
    </row>
    <row r="74" ht="18" customHeight="1">
      <c r="A74" s="41" t="inlineStr">
        <is>
          <t>40_רולינג</t>
        </is>
      </c>
      <c r="B74" s="41" t="inlineStr">
        <is>
          <t>N12</t>
        </is>
      </c>
      <c r="C74" s="41" t="inlineStr">
        <is>
          <t>ביצוע מצטבר מתחילת השנה</t>
        </is>
      </c>
      <c r="D74" s="42" t="inlineStr">
        <is>
          <t>=SUM(B12:M12)</t>
        </is>
      </c>
      <c r="E74" s="41" t="inlineStr">
        <is>
          <t>ימינה</t>
        </is>
      </c>
    </row>
    <row r="75" ht="18" customHeight="1">
      <c r="A75" s="41" t="inlineStr">
        <is>
          <t>40_רולינג</t>
        </is>
      </c>
      <c r="B75" s="41" t="inlineStr">
        <is>
          <t>N13</t>
        </is>
      </c>
      <c r="C75" s="41" t="inlineStr">
        <is>
          <t>התחזית השנתית המעודכנת</t>
        </is>
      </c>
      <c r="D75" s="42" t="inlineStr">
        <is>
          <t>=SUM(B13:M13)</t>
        </is>
      </c>
      <c r="E75" s="41" t="inlineStr">
        <is>
          <t>ימינה</t>
        </is>
      </c>
    </row>
    <row r="76" ht="18" customHeight="1">
      <c r="A76" s="41" t="inlineStr">
        <is>
          <t>40_רולינג</t>
        </is>
      </c>
      <c r="B76" s="41" t="inlineStr">
        <is>
          <t>N14</t>
        </is>
      </c>
      <c r="C76" s="41" t="inlineStr">
        <is>
          <t>פער שנתי בשקלים</t>
        </is>
      </c>
      <c r="D76" s="42" t="inlineStr">
        <is>
          <t>=N13-N11</t>
        </is>
      </c>
      <c r="E76" s="41" t="inlineStr">
        <is>
          <t>ימינה</t>
        </is>
      </c>
    </row>
    <row r="77" ht="18" customHeight="1">
      <c r="A77" s="41" t="inlineStr">
        <is>
          <t>40_רולינג</t>
        </is>
      </c>
      <c r="B77" s="41" t="inlineStr">
        <is>
          <t>N15</t>
        </is>
      </c>
      <c r="C77" s="41" t="inlineStr">
        <is>
          <t>פער שנתי באחוזים</t>
        </is>
      </c>
      <c r="D77" s="42" t="inlineStr">
        <is>
          <t>=IFERROR(N14/N11,0)</t>
        </is>
      </c>
      <c r="E77" s="41" t="inlineStr">
        <is>
          <t>ימינה</t>
        </is>
      </c>
    </row>
    <row r="78" ht="18" customHeight="1">
      <c r="A78" s="41" t="inlineStr">
        <is>
          <t>40_רולינג</t>
        </is>
      </c>
      <c r="B78" s="41" t="inlineStr">
        <is>
          <t>C19</t>
        </is>
      </c>
      <c r="C78" s="41" t="inlineStr">
        <is>
          <t>תחזית שנתית מעודכנת</t>
        </is>
      </c>
      <c r="D78" s="42" t="inlineStr">
        <is>
          <t>=N13</t>
        </is>
      </c>
      <c r="E78" s="41" t="inlineStr">
        <is>
          <t>תא בודד</t>
        </is>
      </c>
    </row>
    <row r="79" ht="18" customHeight="1">
      <c r="A79" s="41" t="inlineStr">
        <is>
          <t>40_רולינג</t>
        </is>
      </c>
      <c r="B79" s="41" t="inlineStr">
        <is>
          <t>C20</t>
        </is>
      </c>
      <c r="C79" s="41" t="inlineStr">
        <is>
          <t>קו בסיס שנתי מקורי</t>
        </is>
      </c>
      <c r="D79" s="42" t="inlineStr">
        <is>
          <t>=N11</t>
        </is>
      </c>
      <c r="E79" s="41" t="inlineStr">
        <is>
          <t>תא בודד</t>
        </is>
      </c>
    </row>
    <row r="80" ht="18" customHeight="1">
      <c r="A80" s="41" t="inlineStr">
        <is>
          <t>40_רולינג</t>
        </is>
      </c>
      <c r="B80" s="41" t="inlineStr">
        <is>
          <t>C21</t>
        </is>
      </c>
      <c r="C80" s="41" t="inlineStr">
        <is>
          <t>פער שנתי צפוי</t>
        </is>
      </c>
      <c r="D80" s="42" t="inlineStr">
        <is>
          <t>=N13-N11</t>
        </is>
      </c>
      <c r="E80" s="41" t="inlineStr">
        <is>
          <t>תא בודד</t>
        </is>
      </c>
    </row>
    <row r="81" ht="18" customHeight="1">
      <c r="A81" s="41" t="inlineStr">
        <is>
          <t>40_רולינג</t>
        </is>
      </c>
      <c r="B81" s="41" t="inlineStr">
        <is>
          <t>C22</t>
        </is>
      </c>
      <c r="C81" s="41" t="inlineStr">
        <is>
          <t>האם צפויה עמידה ביעד</t>
        </is>
      </c>
      <c r="D81" s="42" t="inlineStr">
        <is>
          <t>=IF(N13&gt;=N11,"כן","לא — נדרשת פעולה")</t>
        </is>
      </c>
      <c r="E81" s="41" t="inlineStr">
        <is>
          <t>תא בודד</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2026-07-29T08:24:44Z</dcterms:created>
  <dcterms:modified xmlns:dcterms="http://purl.org/dc/terms/" xmlns:xsi="http://www.w3.org/2001/XMLSchema-instance" xsi:type="dcterms:W3CDTF">2026-07-29T08:24:44Z</dcterms:modified>
</cp:coreProperties>
</file>