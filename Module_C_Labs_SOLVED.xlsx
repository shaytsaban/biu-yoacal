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BANK_RAW" sheetId="2" state="visible" r:id="rId2"/>
    <sheet xmlns:r="http://schemas.openxmlformats.org/officeDocument/2006/relationships" name="02_GL" sheetId="3" state="visible" r:id="rId3"/>
    <sheet xmlns:r="http://schemas.openxmlformats.org/officeDocument/2006/relationships" name="03_MAP" sheetId="4" state="visible" r:id="rId4"/>
    <sheet xmlns:r="http://schemas.openxmlformats.org/officeDocument/2006/relationships" name="04_ETL" sheetId="5" state="visible" r:id="rId5"/>
    <sheet xmlns:r="http://schemas.openxmlformats.org/officeDocument/2006/relationships" name="05_BUDGET" sheetId="6" state="visible" r:id="rId6"/>
    <sheet xmlns:r="http://schemas.openxmlformats.org/officeDocument/2006/relationships" name="10_CONTROL" sheetId="7" state="visible" r:id="rId7"/>
    <sheet xmlns:r="http://schemas.openxmlformats.org/officeDocument/2006/relationships" name="11_PVM" sheetId="8" state="visible" r:id="rId8"/>
    <sheet xmlns:r="http://schemas.openxmlformats.org/officeDocument/2006/relationships" name="20_WORKCAP" sheetId="9" state="visible" r:id="rId9"/>
    <sheet xmlns:r="http://schemas.openxmlformats.org/officeDocument/2006/relationships" name="30_CASH13" sheetId="10" state="visible" r:id="rId10"/>
    <sheet xmlns:r="http://schemas.openxmlformats.org/officeDocument/2006/relationships" name="40_ROLLING" sheetId="11" state="visible" r:id="rId11"/>
    <sheet xmlns:r="http://schemas.openxmlformats.org/officeDocument/2006/relationships" name="50_CREDIT_TERMS" sheetId="12" state="visible" r:id="rId12"/>
    <sheet xmlns:r="http://schemas.openxmlformats.org/officeDocument/2006/relationships" name="60_CASH13_BLANK" sheetId="13" state="visible" r:id="rId13"/>
    <sheet xmlns:r="http://schemas.openxmlformats.org/officeDocument/2006/relationships" name="99_KEY" sheetId="14" state="visible" r:id="rId14"/>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8">
    <font>
      <name val="Calibri"/>
      <family val="2"/>
      <color theme="1"/>
      <sz val="11"/>
      <scheme val="minor"/>
    </font>
    <font>
      <name val="Arial"/>
      <b val="1"/>
      <color rgb="00FFFFFF"/>
      <sz val="15"/>
    </font>
    <font>
      <name val="Arial"/>
      <i val="1"/>
      <color rgb="00475569"/>
      <sz val="9"/>
    </font>
    <font>
      <name val="Arial"/>
      <b val="1"/>
      <color rgb="000F172A"/>
      <sz val="10"/>
    </font>
    <font>
      <name val="Arial"/>
      <sz val="10"/>
    </font>
    <font>
      <name val="Arial"/>
      <b val="1"/>
      <color rgb="00FFFFFF"/>
      <sz val="10"/>
    </font>
    <font>
      <name val="Arial"/>
      <b val="1"/>
      <color rgb="004F46E5"/>
      <sz val="13"/>
    </font>
    <font>
      <name val="Consolas"/>
      <sz val="9"/>
    </font>
  </fonts>
  <fills count="9">
    <fill>
      <patternFill/>
    </fill>
    <fill>
      <patternFill patternType="gray125"/>
    </fill>
    <fill>
      <patternFill patternType="solid">
        <fgColor rgb="000F172A"/>
      </patternFill>
    </fill>
    <fill>
      <patternFill patternType="solid">
        <fgColor rgb="00FFF2A8"/>
      </patternFill>
    </fill>
    <fill>
      <patternFill patternType="solid">
        <fgColor rgb="00F1F5F9"/>
      </patternFill>
    </fill>
    <fill>
      <patternFill patternType="solid">
        <fgColor rgb="00FFF9E0"/>
      </patternFill>
    </fill>
    <fill>
      <patternFill patternType="solid">
        <fgColor rgb="00FFFFFF"/>
      </patternFill>
    </fill>
    <fill>
      <patternFill patternType="solid">
        <fgColor rgb="004F46E5"/>
      </patternFill>
    </fill>
    <fill>
      <patternFill patternType="solid">
        <fgColor rgb="00B8860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0" borderId="0" applyAlignment="1" pivotButton="0" quotePrefix="0" xfId="0">
      <alignment vertical="top" wrapText="1"/>
    </xf>
    <xf numFmtId="0" fontId="4" fillId="3" borderId="1" pivotButton="0" quotePrefix="0" xfId="0"/>
    <xf numFmtId="0" fontId="4" fillId="4" borderId="1" pivotButton="0" quotePrefix="0" xfId="0"/>
    <xf numFmtId="0" fontId="4" fillId="5" borderId="1" pivotButton="0" quotePrefix="0" xfId="0"/>
    <xf numFmtId="0" fontId="4" fillId="6" borderId="1" pivotButton="0" quotePrefix="0" xfId="0"/>
    <xf numFmtId="0" fontId="5" fillId="7" borderId="1" applyAlignment="1" pivotButton="0" quotePrefix="0" xfId="0">
      <alignment horizontal="center" vertical="center" wrapText="1"/>
    </xf>
    <xf numFmtId="0" fontId="4" fillId="0" borderId="1" applyAlignment="1" pivotButton="0" quotePrefix="0" xfId="0">
      <alignment horizontal="right"/>
    </xf>
    <xf numFmtId="164" fontId="4" fillId="0" borderId="1" pivotButton="0" quotePrefix="0" xfId="0"/>
    <xf numFmtId="0" fontId="4" fillId="0" borderId="1" pivotButton="0" quotePrefix="0" xfId="0"/>
    <xf numFmtId="3" fontId="4" fillId="0" borderId="1" pivotButton="0" quotePrefix="0" xfId="0"/>
    <xf numFmtId="0" fontId="2" fillId="0" borderId="1" applyAlignment="1" pivotButton="0" quotePrefix="0" xfId="0">
      <alignment wrapText="1"/>
    </xf>
    <xf numFmtId="0" fontId="2" fillId="0" borderId="0" pivotButton="0" quotePrefix="0" xfId="0"/>
    <xf numFmtId="164" fontId="0" fillId="3" borderId="1" pivotButton="0" quotePrefix="0" xfId="0"/>
    <xf numFmtId="3" fontId="0" fillId="3" borderId="1" pivotButton="0" quotePrefix="0" xfId="0"/>
    <xf numFmtId="0" fontId="0" fillId="3" borderId="1" pivotButton="0" quotePrefix="0" xfId="0"/>
    <xf numFmtId="0" fontId="6" fillId="0" borderId="0" pivotButton="0" quotePrefix="0" xfId="0"/>
    <xf numFmtId="0" fontId="3" fillId="5" borderId="1" pivotButton="0" quotePrefix="0" xfId="0"/>
    <xf numFmtId="165" fontId="0" fillId="3" borderId="1" pivotButton="0" quotePrefix="0" xfId="0"/>
    <xf numFmtId="3" fontId="4" fillId="4" borderId="1" pivotButton="0" quotePrefix="0" xfId="0"/>
    <xf numFmtId="3" fontId="5" fillId="8" borderId="1" pivotButton="0" quotePrefix="0" xfId="0"/>
    <xf numFmtId="166" fontId="0" fillId="3" borderId="1" pivotButton="0" quotePrefix="0" xfId="0"/>
    <xf numFmtId="166" fontId="0" fillId="5" borderId="1" pivotButton="0" quotePrefix="0" xfId="0"/>
    <xf numFmtId="3" fontId="3" fillId="5" borderId="1" pivotButton="0" quotePrefix="0" xfId="0"/>
    <xf numFmtId="0" fontId="3" fillId="8" borderId="1" pivotButton="0" quotePrefix="0" xfId="0"/>
    <xf numFmtId="0" fontId="6" fillId="5" borderId="1" pivotButton="0" quotePrefix="0" xfId="0"/>
    <xf numFmtId="2" fontId="6" fillId="5" borderId="1" pivotButton="0" quotePrefix="0" xfId="0"/>
    <xf numFmtId="0" fontId="3" fillId="4" borderId="1" pivotButton="0" quotePrefix="0" xfId="0"/>
    <xf numFmtId="3" fontId="0" fillId="5" borderId="1" pivotButton="0" quotePrefix="0" xfId="0"/>
    <xf numFmtId="165" fontId="0" fillId="5" borderId="1" pivotButton="0" quotePrefix="0" xfId="0"/>
    <xf numFmtId="3" fontId="0" fillId="4" borderId="1" pivotButton="0" quotePrefix="0" xfId="0"/>
    <xf numFmtId="165" fontId="0" fillId="4" borderId="1" pivotButton="0" quotePrefix="0" xfId="0"/>
    <xf numFmtId="0" fontId="0" fillId="5" borderId="1" pivotButton="0" quotePrefix="0" xfId="0"/>
    <xf numFmtId="3" fontId="0" fillId="0" borderId="1" pivotButton="0" quotePrefix="0" xfId="0"/>
    <xf numFmtId="0" fontId="0" fillId="0" borderId="1" pivotButton="0" quotePrefix="0" xfId="0"/>
    <xf numFmtId="0" fontId="4" fillId="0" borderId="1" applyAlignment="1" pivotButton="0" quotePrefix="0" xfId="0">
      <alignment horizontal="right" vertical="top" wrapText="1"/>
    </xf>
    <xf numFmtId="0" fontId="7" fillId="0" borderId="1" applyAlignment="1" pivotButton="0" quotePrefix="0" xfId="0">
      <alignment horizontal="left" vertical="top" wrapText="1"/>
    </xf>
    <xf numFmtId="164" fontId="4" fillId="0" borderId="1" pivotButton="0" quotePrefix="0" xfId="0"/>
    <xf numFmtId="164" fontId="0" fillId="3" borderId="1" pivotButton="0" quotePrefix="0" xfId="0"/>
    <xf numFmtId="165" fontId="0" fillId="3" borderId="1" pivotButton="0" quotePrefix="0" xfId="0"/>
    <xf numFmtId="166" fontId="0" fillId="3" borderId="1" pivotButton="0" quotePrefix="0" xfId="0"/>
    <xf numFmtId="166" fontId="0" fillId="5" borderId="1" pivotButton="0" quotePrefix="0" xfId="0"/>
    <xf numFmtId="165" fontId="0" fillId="5" borderId="1" pivotButton="0" quotePrefix="0" xfId="0"/>
    <xf numFmtId="165" fontId="0" fillId="4" borderId="1" pivotButton="0" quotePrefix="0" xfId="0"/>
  </cellXfs>
  <cellStyles count="1">
    <cellStyle name="Normal" xfId="0" builtinId="0" hidden="0"/>
  </cellStyles>
  <dxfs count="2">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Budget vs Actual by account</a:t>
            </a:r>
          </a:p>
        </rich>
      </tx>
    </title>
    <plotArea>
      <barChart>
        <barDir val="col"/>
        <grouping val="clustered"/>
        <ser>
          <idx val="0"/>
          <order val="0"/>
          <tx>
            <strRef>
              <f>'10_CONTROL'!D7</f>
            </strRef>
          </tx>
          <spPr>
            <a:solidFill xmlns:a="http://schemas.openxmlformats.org/drawingml/2006/main">
              <a:srgbClr val="94A3B8"/>
            </a:solidFill>
            <a:ln xmlns:a="http://schemas.openxmlformats.org/drawingml/2006/main">
              <a:prstDash val="solid"/>
            </a:ln>
          </spPr>
          <cat>
            <numRef>
              <f>'10_CONTROL'!$B$8:$B$20</f>
            </numRef>
          </cat>
          <val>
            <numRef>
              <f>'10_CONTROL'!$D$8:$D$20</f>
            </numRef>
          </val>
        </ser>
        <ser>
          <idx val="1"/>
          <order val="1"/>
          <tx>
            <strRef>
              <f>'10_CONTROL'!E7</f>
            </strRef>
          </tx>
          <spPr>
            <a:solidFill xmlns:a="http://schemas.openxmlformats.org/drawingml/2006/main">
              <a:srgbClr val="4F46E5"/>
            </a:solidFill>
            <a:ln xmlns:a="http://schemas.openxmlformats.org/drawingml/2006/main">
              <a:prstDash val="solid"/>
            </a:ln>
          </spPr>
          <cat>
            <numRef>
              <f>'10_CONTROL'!$B$8:$B$20</f>
            </numRef>
          </cat>
          <val>
            <numRef>
              <f>'10_CONTROL'!$E$8:$E$20</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Variance split by product</a:t>
            </a:r>
          </a:p>
        </rich>
      </tx>
    </title>
    <plotArea>
      <barChart>
        <barDir val="col"/>
        <grouping val="clustered"/>
        <ser>
          <idx val="0"/>
          <order val="0"/>
          <tx>
            <strRef>
              <f>'11_PVM'!J7</f>
            </strRef>
          </tx>
          <spPr>
            <a:solidFill xmlns:a="http://schemas.openxmlformats.org/drawingml/2006/main">
              <a:srgbClr val="EF4444"/>
            </a:solidFill>
            <a:ln xmlns:a="http://schemas.openxmlformats.org/drawingml/2006/main">
              <a:prstDash val="solid"/>
            </a:ln>
          </spPr>
          <cat>
            <numRef>
              <f>'11_PVM'!$B$8:$B$11</f>
            </numRef>
          </cat>
          <val>
            <numRef>
              <f>'11_PVM'!$J$8:$J$11</f>
            </numRef>
          </val>
        </ser>
        <ser>
          <idx val="1"/>
          <order val="1"/>
          <tx>
            <strRef>
              <f>'11_PVM'!K7</f>
            </strRef>
          </tx>
          <spPr>
            <a:solidFill xmlns:a="http://schemas.openxmlformats.org/drawingml/2006/main">
              <a:srgbClr val="10B981"/>
            </a:solidFill>
            <a:ln xmlns:a="http://schemas.openxmlformats.org/drawingml/2006/main">
              <a:prstDash val="solid"/>
            </a:ln>
          </spPr>
          <cat>
            <numRef>
              <f>'11_PVM'!$B$8:$B$11</f>
            </numRef>
          </cat>
          <val>
            <numRef>
              <f>'11_PVM'!$K$8:$K$11</f>
            </numRef>
          </val>
        </ser>
        <ser>
          <idx val="2"/>
          <order val="2"/>
          <tx>
            <strRef>
              <f>'11_PVM'!L7</f>
            </strRef>
          </tx>
          <spPr>
            <a:solidFill xmlns:a="http://schemas.openxmlformats.org/drawingml/2006/main">
              <a:srgbClr val="F59E0B"/>
            </a:solidFill>
            <a:ln xmlns:a="http://schemas.openxmlformats.org/drawingml/2006/main">
              <a:prstDash val="solid"/>
            </a:ln>
          </spPr>
          <cat>
            <numRef>
              <f>'11_PVM'!$B$8:$B$11</f>
            </numRef>
          </cat>
          <val>
            <numRef>
              <f>'11_PVM'!$L$8:$L$11</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Working capital days across the year</a:t>
            </a:r>
          </a:p>
        </rich>
      </tx>
    </title>
    <plotArea>
      <lineChart>
        <grouping val="standard"/>
        <ser>
          <idx val="0"/>
          <order val="0"/>
          <tx>
            <strRef>
              <f>'20_WORKCAP'!H7</f>
            </strRef>
          </tx>
          <spPr>
            <a:ln xmlns:a="http://schemas.openxmlformats.org/drawingml/2006/main" w="22000">
              <a:solidFill>
                <a:srgbClr val="4F46E5"/>
              </a:solidFill>
              <a:prstDash val="solid"/>
            </a:ln>
          </spPr>
          <marker>
            <symbol val="none"/>
            <spPr>
              <a:ln xmlns:a="http://schemas.openxmlformats.org/drawingml/2006/main">
                <a:prstDash val="solid"/>
              </a:ln>
            </spPr>
          </marker>
          <cat>
            <numRef>
              <f>'20_WORKCAP'!$B$8:$B$19</f>
            </numRef>
          </cat>
          <val>
            <numRef>
              <f>'20_WORKCAP'!$H$8:$H$19</f>
            </numRef>
          </val>
          <smooth val="0"/>
        </ser>
        <ser>
          <idx val="1"/>
          <order val="1"/>
          <tx>
            <strRef>
              <f>'20_WORKCAP'!I7</f>
            </strRef>
          </tx>
          <spPr>
            <a:ln xmlns:a="http://schemas.openxmlformats.org/drawingml/2006/main" w="22000">
              <a:solidFill>
                <a:srgbClr val="10B981"/>
              </a:solidFill>
              <a:prstDash val="solid"/>
            </a:ln>
          </spPr>
          <marker>
            <symbol val="none"/>
            <spPr>
              <a:ln xmlns:a="http://schemas.openxmlformats.org/drawingml/2006/main">
                <a:prstDash val="solid"/>
              </a:ln>
            </spPr>
          </marker>
          <cat>
            <numRef>
              <f>'20_WORKCAP'!$B$8:$B$19</f>
            </numRef>
          </cat>
          <val>
            <numRef>
              <f>'20_WORKCAP'!$I$8:$I$19</f>
            </numRef>
          </val>
          <smooth val="0"/>
        </ser>
        <ser>
          <idx val="2"/>
          <order val="2"/>
          <tx>
            <strRef>
              <f>'20_WORKCAP'!J7</f>
            </strRef>
          </tx>
          <spPr>
            <a:ln xmlns:a="http://schemas.openxmlformats.org/drawingml/2006/main" w="22000">
              <a:solidFill>
                <a:srgbClr val="F59E0B"/>
              </a:solidFill>
              <a:prstDash val="solid"/>
            </a:ln>
          </spPr>
          <marker>
            <symbol val="none"/>
            <spPr>
              <a:ln xmlns:a="http://schemas.openxmlformats.org/drawingml/2006/main">
                <a:prstDash val="solid"/>
              </a:ln>
            </spPr>
          </marker>
          <cat>
            <numRef>
              <f>'20_WORKCAP'!$B$8:$B$19</f>
            </numRef>
          </cat>
          <val>
            <numRef>
              <f>'20_WORKCAP'!$J$8:$J$19</f>
            </numRef>
          </val>
          <smooth val="0"/>
        </ser>
        <ser>
          <idx val="3"/>
          <order val="3"/>
          <tx>
            <strRef>
              <f>'20_WORKCAP'!K7</f>
            </strRef>
          </tx>
          <spPr>
            <a:ln xmlns:a="http://schemas.openxmlformats.org/drawingml/2006/main" w="22000">
              <a:solidFill>
                <a:srgbClr val="EF4444"/>
              </a:solidFill>
              <a:prstDash val="solid"/>
            </a:ln>
          </spPr>
          <marker>
            <symbol val="none"/>
            <spPr>
              <a:ln xmlns:a="http://schemas.openxmlformats.org/drawingml/2006/main">
                <a:prstDash val="solid"/>
              </a:ln>
            </spPr>
          </marker>
          <cat>
            <numRef>
              <f>'20_WORKCAP'!$B$8:$B$19</f>
            </numRef>
          </cat>
          <val>
            <numRef>
              <f>'20_WORKCAP'!$K$8:$K$19</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Weekly closing balance</a:t>
            </a:r>
          </a:p>
        </rich>
      </tx>
    </title>
    <plotArea>
      <lineChart>
        <grouping val="standard"/>
        <ser>
          <idx val="0"/>
          <order val="0"/>
          <tx>
            <strRef>
              <f>'30_CASH13'!B33</f>
            </strRef>
          </tx>
          <spPr>
            <a:ln xmlns:a="http://schemas.openxmlformats.org/drawingml/2006/main" w="26000">
              <a:solidFill>
                <a:srgbClr val="4F46E5"/>
              </a:solidFill>
              <a:prstDash val="solid"/>
            </a:ln>
          </spPr>
          <marker>
            <symbol val="none"/>
            <spPr>
              <a:ln xmlns:a="http://schemas.openxmlformats.org/drawingml/2006/main">
                <a:prstDash val="solid"/>
              </a:ln>
            </spPr>
          </marker>
          <cat>
            <numRef>
              <f>'30_CASH13'!$D$9:$P$9</f>
            </numRef>
          </cat>
          <val>
            <numRef>
              <f>'30_CASH13'!$C$33:$Q$33</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Locked budget vs rolling forecast</a:t>
            </a:r>
          </a:p>
        </rich>
      </tx>
    </title>
    <plotArea>
      <lineChart>
        <grouping val="standard"/>
        <ser>
          <idx val="0"/>
          <order val="0"/>
          <tx>
            <strRef>
              <f>'40_ROLLING'!A9</f>
            </strRef>
          </tx>
          <spPr>
            <a:ln xmlns:a="http://schemas.openxmlformats.org/drawingml/2006/main" w="24000">
              <a:solidFill>
                <a:srgbClr val="94A3B8"/>
              </a:solidFill>
              <a:prstDash val="solid"/>
            </a:ln>
          </spPr>
          <marker>
            <symbol val="none"/>
            <spPr>
              <a:ln xmlns:a="http://schemas.openxmlformats.org/drawingml/2006/main">
                <a:prstDash val="solid"/>
              </a:ln>
            </spPr>
          </marker>
          <cat>
            <numRef>
              <f>'40_ROLLING'!$B$8:$M$8</f>
            </numRef>
          </cat>
          <val>
            <numRef>
              <f>'40_ROLLING'!$B$9:$M$9</f>
            </numRef>
          </val>
          <smooth val="0"/>
        </ser>
        <ser>
          <idx val="1"/>
          <order val="1"/>
          <tx>
            <strRef>
              <f>'40_ROLLING'!A10</f>
            </strRef>
          </tx>
          <spPr>
            <a:ln xmlns:a="http://schemas.openxmlformats.org/drawingml/2006/main" w="24000">
              <a:solidFill>
                <a:srgbClr val="10B981"/>
              </a:solidFill>
              <a:prstDash val="solid"/>
            </a:ln>
          </spPr>
          <marker>
            <symbol val="none"/>
            <spPr>
              <a:ln xmlns:a="http://schemas.openxmlformats.org/drawingml/2006/main">
                <a:prstDash val="solid"/>
              </a:ln>
            </spPr>
          </marker>
          <cat>
            <numRef>
              <f>'40_ROLLING'!$B$8:$M$8</f>
            </numRef>
          </cat>
          <val>
            <numRef>
              <f>'40_ROLLING'!$B$10:$M$10</f>
            </numRef>
          </val>
          <smooth val="0"/>
        </ser>
        <ser>
          <idx val="2"/>
          <order val="2"/>
          <tx>
            <strRef>
              <f>'40_ROLLING'!A11</f>
            </strRef>
          </tx>
          <spPr>
            <a:ln xmlns:a="http://schemas.openxmlformats.org/drawingml/2006/main" w="24000">
              <a:solidFill>
                <a:srgbClr val="4F46E5"/>
              </a:solidFill>
              <a:prstDash val="solid"/>
            </a:ln>
          </spPr>
          <marker>
            <symbol val="none"/>
            <spPr>
              <a:ln xmlns:a="http://schemas.openxmlformats.org/drawingml/2006/main">
                <a:prstDash val="solid"/>
              </a:ln>
            </spPr>
          </marker>
          <cat>
            <numRef>
              <f>'40_ROLLING'!$B$8:$M$8</f>
            </numRef>
          </cat>
          <val>
            <numRef>
              <f>'40_ROLLING'!$B$11:$M$11</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10</col>
      <colOff>0</colOff>
      <row>2</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17</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12</col>
      <colOff>0</colOff>
      <row>2</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col>
      <colOff>0</colOff>
      <row>47</row>
      <rowOff>0</rowOff>
    </from>
    <ext cx="100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5</col>
      <colOff>0</colOff>
      <row>15</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BANK" displayName="BANK" ref="A4:D105" headerRowCount="1">
  <autoFilter ref="A4:D105"/>
  <tableColumns count="4">
    <tableColumn id="1" name="RawDate"/>
    <tableColumn id="2" name="RawDesc"/>
    <tableColumn id="3" name="RawAmount"/>
    <tableColumn id="4" name="Ref"/>
  </tableColumns>
  <tableStyleInfo name="TableStyleLight16" showRowStripes="1"/>
</table>
</file>

<file path=xl/tables/table2.xml><?xml version="1.0" encoding="utf-8"?>
<table xmlns="http://schemas.openxmlformats.org/spreadsheetml/2006/main" id="2" name="GL" displayName="GL" ref="A4:J472" headerRowCount="1">
  <autoFilter ref="A4:J472"/>
  <tableColumns count="10">
    <tableColumn id="1" name="Date"/>
    <tableColumn id="2" name="TxnID"/>
    <tableColumn id="3" name="Month"/>
    <tableColumn id="4" name="Dept"/>
    <tableColumn id="5" name="DeptName"/>
    <tableColumn id="6" name="Grp"/>
    <tableColumn id="7" name="GrpName"/>
    <tableColumn id="8" name="Acct"/>
    <tableColumn id="9" name="AcctName"/>
    <tableColumn id="10" name="Amount"/>
  </tableColumns>
  <tableStyleInfo name="TableStyleLight9" showRowStripes="1"/>
</table>
</file>

<file path=xl/tables/table3.xml><?xml version="1.0" encoding="utf-8"?>
<table xmlns="http://schemas.openxmlformats.org/spreadsheetml/2006/main" id="3" name="MAP" displayName="MAP" ref="A4:E39" headerRowCount="1">
  <autoFilter ref="A4:E39"/>
  <tableColumns count="5">
    <tableColumn id="1" name="Keyword"/>
    <tableColumn id="2" name="Acct"/>
    <tableColumn id="3" name="AcctName"/>
    <tableColumn id="4" name="Grp"/>
    <tableColumn id="5" name="Note"/>
  </tableColumns>
  <tableStyleInfo name="TableStyleLight11" showRowStripes="1"/>
</table>
</file>

<file path=xl/tables/table4.xml><?xml version="1.0" encoding="utf-8"?>
<table xmlns="http://schemas.openxmlformats.org/spreadsheetml/2006/main" id="4" name="BUDGET" displayName="BUDGET" ref="A4:I472" headerRowCount="1">
  <autoFilter ref="A4:I472"/>
  <tableColumns count="9">
    <tableColumn id="1" name="Month"/>
    <tableColumn id="2" name="MonthName"/>
    <tableColumn id="3" name="Dept"/>
    <tableColumn id="4" name="DeptName"/>
    <tableColumn id="5" name="Grp"/>
    <tableColumn id="6" name="GrpName"/>
    <tableColumn id="7" name="Acct"/>
    <tableColumn id="8" name="AcctName"/>
    <tableColumn id="9" name="Budget"/>
  </tableColumns>
  <tableStyleInfo name="TableStyleLight1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C42"/>
  <sheetViews>
    <sheetView rightToLeft="1" workbookViewId="0">
      <selection activeCell="A1" sqref="A1"/>
    </sheetView>
  </sheetViews>
  <sheetFormatPr baseColWidth="8" defaultRowHeight="15"/>
  <cols>
    <col width="3" customWidth="1" min="1" max="1"/>
    <col width="26" customWidth="1" min="2" max="2"/>
    <col width="98" customWidth="1" min="3" max="3"/>
  </cols>
  <sheetData>
    <row r="1" ht="32" customHeight="1">
      <c r="A1" s="1" t="inlineStr">
        <is>
          <t>מודול ג׳ · בקרה תקציבית, תזרים וניתוח דאטה</t>
        </is>
      </c>
    </row>
    <row r="2" ht="18" customHeight="1">
      <c r="A2" s="2" t="inlineStr">
        <is>
          <t>ד״ר שי צבאן · יום עיון: הפרקטיקה הפיננסית והמיסויית ב-SME</t>
        </is>
      </c>
    </row>
    <row r="4" ht="15" customHeight="1">
      <c r="B4" s="3" t="inlineStr"/>
      <c r="C4" s="4" t="inlineStr"/>
    </row>
    <row r="5" ht="15" customHeight="1">
      <c r="B5" s="3" t="inlineStr">
        <is>
          <t>שני כללי ברזל</t>
        </is>
      </c>
      <c r="C5" s="4" t="inlineStr"/>
    </row>
    <row r="6" ht="28" customHeight="1">
      <c r="B6" s="3" t="inlineStr">
        <is>
          <t>1. תאימות מלאה</t>
        </is>
      </c>
      <c r="C6" s="4" t="inlineStr">
        <is>
          <t>כל נוסחה כאן מתנהגת זהה באקסל למק ובאקסל לווינדוס. אין Power Query, אין מודל נתונים, אין מאקרו, ואין CHAR שמחזירה תו שונה בין המערכות.</t>
        </is>
      </c>
    </row>
    <row r="7" ht="28" customHeight="1">
      <c r="B7" s="3" t="inlineStr">
        <is>
          <t>2. נוסחאות באנגלית</t>
        </is>
      </c>
      <c r="C7" s="4" t="inlineStr">
        <is>
          <t>שמות הגיליונות, שמות הטבלאות, כותרות העמודות וכל ערך שמופיע בתוך נוסחה הם באנגלית. כך אפשר להעתיק ולהדביק כל נוסחה בלי שהעברית תשבור אותה.</t>
        </is>
      </c>
    </row>
    <row r="8" ht="15" customHeight="1">
      <c r="B8" s="3" t="inlineStr"/>
      <c r="C8" s="4" t="inlineStr">
        <is>
          <t>העברית נשארת איפה שהיא צריכה להיות: בנתונים עצמם, בעמודות התצוגה ובכותרות שעל המסך.</t>
        </is>
      </c>
    </row>
    <row r="9" ht="15" customHeight="1">
      <c r="B9" s="3" t="inlineStr"/>
      <c r="C9" s="4" t="inlineStr"/>
    </row>
    <row r="10" ht="28" customHeight="1">
      <c r="B10" s="3" t="inlineStr">
        <is>
          <t>החברה שבתרגיל</t>
        </is>
      </c>
      <c r="C10" s="4" t="inlineStr">
        <is>
          <t>טכנופיד בע״מ, יבואן ומפיץ ציוד היקפי למשרדים. מחזור שנתי כ-13.5 מיליון ש״ח, תשעה עובדים, בעל שליטה יחיד.</t>
        </is>
      </c>
    </row>
    <row r="11" ht="15" customHeight="1">
      <c r="B11" s="3" t="inlineStr"/>
      <c r="C11" s="4" t="inlineStr">
        <is>
          <t>יש לה מלאי (ולכן מחזור מזומן אמיתי), רכב חברה, יתרת בעלים פתוחה, ושלוש מחלקות.</t>
        </is>
      </c>
    </row>
    <row r="12" ht="15" customHeight="1">
      <c r="B12" s="3" t="inlineStr"/>
      <c r="C12" s="4" t="inlineStr">
        <is>
          <t>כל הנתונים מלאכותיים ונבנו לתרגול בלבד. אין באמור ייעוץ מס או ייעוץ פיננסי.</t>
        </is>
      </c>
    </row>
    <row r="13" ht="15" customHeight="1">
      <c r="B13" s="3" t="inlineStr"/>
      <c r="C13" s="4" t="inlineStr"/>
    </row>
    <row r="14" ht="15" customHeight="1">
      <c r="B14" s="3" t="inlineStr">
        <is>
          <t>מקרא הצבעים</t>
        </is>
      </c>
      <c r="C14" s="4" t="inlineStr">
        <is>
          <t>צהוב: כאן מקלידים נוסחה. אפור: נתון קיים, לא נוגעים. קרם: קלט שאתם משנים. לבן: תוצאה שמתמלאת לבד.</t>
        </is>
      </c>
    </row>
    <row r="15" ht="15" customHeight="1">
      <c r="B15" s="3" t="inlineStr"/>
      <c r="C15" s="4" t="inlineStr"/>
    </row>
    <row r="16" ht="15" customHeight="1">
      <c r="B16" s="3" t="inlineStr">
        <is>
          <t>בדיקת גרסה</t>
        </is>
      </c>
      <c r="C16" s="4" t="inlineStr">
        <is>
          <t>הקלידו בתא ריק =LET(x,1,x) ולחצו Enter. אם התקבל 1, הכול יעבוד.</t>
        </is>
      </c>
    </row>
    <row r="17" ht="28" customHeight="1">
      <c r="B17" s="3" t="inlineStr"/>
      <c r="C17" s="4" t="inlineStr">
        <is>
          <t>אם התקבל #NAME? אתם על אקסל 2019 או ישן יותר, ושתי נוסחאות במעבדה 1 לא יעבדו אצלכם. כל שאר המעבדות יעבדו במלואן.</t>
        </is>
      </c>
    </row>
    <row r="18" ht="15" customHeight="1">
      <c r="B18" s="3" t="inlineStr"/>
      <c r="C18" s="4" t="inlineStr"/>
    </row>
    <row r="19" ht="15" customHeight="1">
      <c r="B19" s="3" t="inlineStr">
        <is>
          <t>נבנה בכיתה</t>
        </is>
      </c>
      <c r="C19" s="4" t="inlineStr"/>
    </row>
    <row r="20" ht="15" customHeight="1">
      <c r="B20" s="3" t="inlineStr">
        <is>
          <t>04_ETL</t>
        </is>
      </c>
      <c r="C20" s="4" t="inlineStr">
        <is>
          <t>מעבדה 1: ניקוי פלט בנק בנוסחאות. תאריך, סכום, תיאור, סיווג, זיהוי כפילויות.</t>
        </is>
      </c>
    </row>
    <row r="21" ht="15" customHeight="1">
      <c r="B21" s="3" t="inlineStr">
        <is>
          <t>10_CONTROL</t>
        </is>
      </c>
      <c r="C21" s="4" t="inlineStr">
        <is>
          <t>מעבדה 2: לוח בקרת ביצוע מול תקציב, עם התראה על חריגה מעל 10%.</t>
        </is>
      </c>
    </row>
    <row r="22" ht="15" customHeight="1">
      <c r="B22" s="3" t="inlineStr">
        <is>
          <t>11_PVM</t>
        </is>
      </c>
      <c r="C22" s="4" t="inlineStr">
        <is>
          <t>מעבדה 3: פירוק הסטייה בהכנסות לשלושה גורמים: מחיר, כמות ותמהיל.</t>
        </is>
      </c>
    </row>
    <row r="23" ht="15" customHeight="1">
      <c r="B23" s="3" t="inlineStr">
        <is>
          <t>20_WORKCAP</t>
        </is>
      </c>
      <c r="C23" s="4" t="inlineStr">
        <is>
          <t>מעבדה 4: ימי גבייה, ימי ספקים, ימי מלאי ומחזור המזומן.</t>
        </is>
      </c>
    </row>
    <row r="24" ht="15" customHeight="1">
      <c r="B24" s="3" t="inlineStr">
        <is>
          <t>30_CASH13</t>
        </is>
      </c>
      <c r="C24" s="4" t="inlineStr">
        <is>
          <t>מעבדה 5: תזרים מזומנים ל-13 שבועות עם דירוג ודאות ותרחישים.</t>
        </is>
      </c>
    </row>
    <row r="25" ht="15" customHeight="1">
      <c r="B25" s="3" t="inlineStr">
        <is>
          <t>40_ROLLING</t>
        </is>
      </c>
      <c r="C25" s="4" t="inlineStr">
        <is>
          <t>מעבדה 6: תחזית מתגלגלת מול קו בסיס נעול.</t>
        </is>
      </c>
    </row>
    <row r="26" ht="15" customHeight="1">
      <c r="B26" s="3" t="inlineStr"/>
      <c r="C26" s="4" t="inlineStr"/>
    </row>
    <row r="27" ht="15" customHeight="1">
      <c r="B27" s="3" t="inlineStr">
        <is>
          <t>מגיע מוכן, לשימוש עתידי</t>
        </is>
      </c>
      <c r="C27" s="4" t="inlineStr"/>
    </row>
    <row r="28" ht="15" customHeight="1">
      <c r="B28" s="3" t="inlineStr">
        <is>
          <t>50_CREDIT_TERMS</t>
        </is>
      </c>
      <c r="C28" s="4" t="inlineStr">
        <is>
          <t>כמה עולה לתת ללקוח תנאי תשלום ארוכים, ואיזו הנחה שווה לתת תמורת תשלום מיידי.</t>
        </is>
      </c>
    </row>
    <row r="29" ht="15" customHeight="1">
      <c r="B29" s="3" t="inlineStr">
        <is>
          <t>60_CASH13_BLANK</t>
        </is>
      </c>
      <c r="C29" s="4" t="inlineStr">
        <is>
          <t>אותו מנוע של מעבדה 5, בלי נתונים, מוכן להזנת לקוח אמיתי.</t>
        </is>
      </c>
    </row>
    <row r="30" ht="15" customHeight="1">
      <c r="B30" s="3" t="inlineStr"/>
      <c r="C30" s="4" t="inlineStr"/>
    </row>
    <row r="31" ht="15" customHeight="1">
      <c r="B31" s="3" t="inlineStr">
        <is>
          <t>נתונים ועזר</t>
        </is>
      </c>
      <c r="C31" s="4" t="inlineStr"/>
    </row>
    <row r="32" ht="15" customHeight="1">
      <c r="B32" s="3" t="inlineStr">
        <is>
          <t>01_BANK_RAW</t>
        </is>
      </c>
      <c r="C32" s="4" t="inlineStr">
        <is>
          <t>פלט בנק גולמי ומלוכלך. חומר הגלם של מעבדה 1.</t>
        </is>
      </c>
    </row>
    <row r="33" ht="15" customHeight="1">
      <c r="B33" s="3" t="inlineStr">
        <is>
          <t>02_GL</t>
        </is>
      </c>
      <c r="C33" s="4" t="inlineStr">
        <is>
          <t>תנועות הנהלת חשבונות לשנת 2026, הביצוע בפועל.</t>
        </is>
      </c>
    </row>
    <row r="34" ht="15" customHeight="1">
      <c r="B34" s="3" t="inlineStr">
        <is>
          <t>03_MAP</t>
        </is>
      </c>
      <c r="C34" s="4" t="inlineStr">
        <is>
          <t>טבלת התרגום: מילת מפתח בתיאור הבנק אל קוד סעיף.</t>
        </is>
      </c>
    </row>
    <row r="35" ht="15" customHeight="1">
      <c r="B35" s="3" t="inlineStr">
        <is>
          <t>05_BUDGET</t>
        </is>
      </c>
      <c r="C35" s="4" t="inlineStr">
        <is>
          <t>התקציב המאושר לשנת 2026.</t>
        </is>
      </c>
    </row>
    <row r="36" ht="15" customHeight="1">
      <c r="B36" s="3" t="inlineStr">
        <is>
          <t>99_KEY</t>
        </is>
      </c>
      <c r="C36" s="4" t="inlineStr">
        <is>
          <t>כל הנוסחאות, מוכנות להעתקה.</t>
        </is>
      </c>
    </row>
    <row r="38">
      <c r="B38" s="3" t="inlineStr">
        <is>
          <t>מקרא</t>
        </is>
      </c>
    </row>
    <row r="39">
      <c r="C39" s="5" t="inlineStr">
        <is>
          <t>להקליד נוסחה</t>
        </is>
      </c>
    </row>
    <row r="40">
      <c r="C40" s="6" t="inlineStr">
        <is>
          <t>נתון קיים</t>
        </is>
      </c>
    </row>
    <row r="41">
      <c r="C41" s="7" t="inlineStr">
        <is>
          <t>קלט שאתם משנים</t>
        </is>
      </c>
    </row>
    <row r="42">
      <c r="C42" s="8" t="inlineStr">
        <is>
          <t>תוצאה אוטומטית</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5"/>
  <sheetViews>
    <sheetView rightToLeft="1" workbookViewId="0">
      <pane ySplit="4" topLeftCell="A5" activePane="bottomLeft" state="frozen"/>
      <selection pane="bottomLeft" activeCell="A1" sqref="A1"/>
    </sheetView>
  </sheetViews>
  <sheetFormatPr baseColWidth="8" defaultRowHeight="15"/>
  <cols>
    <col width="15" customWidth="1" min="1" max="1"/>
    <col width="46" customWidth="1" min="2" max="2"/>
    <col width="18" customWidth="1" min="3" max="3"/>
    <col width="13" customWidth="1" min="4" max="4"/>
  </cols>
  <sheetData>
    <row r="1" ht="32" customHeight="1">
      <c r="A1" s="1" t="inlineStr">
        <is>
          <t>Bank Export (raw) · ינואר עד יוני 2026</t>
        </is>
      </c>
    </row>
    <row r="2" ht="18" customHeight="1">
      <c r="A2" s="2" t="inlineStr">
        <is>
          <t>בדיוק כפי שיורד מאתר הבנק: שני פורמטים של תאריך, סכומים כטקסט, רווחים כפולים וכפילויות. אל תתקנו ידנית.</t>
        </is>
      </c>
    </row>
    <row r="4" ht="28" customHeight="1">
      <c r="A4" s="9" t="inlineStr">
        <is>
          <t>RawDate</t>
        </is>
      </c>
      <c r="B4" s="9" t="inlineStr">
        <is>
          <t>RawDesc</t>
        </is>
      </c>
      <c r="C4" s="9" t="inlineStr">
        <is>
          <t>RawAmount</t>
        </is>
      </c>
      <c r="D4" s="9" t="inlineStr">
        <is>
          <t>Ref</t>
        </is>
      </c>
    </row>
    <row r="5">
      <c r="A5" s="10" t="inlineStr">
        <is>
          <t>10.4.26</t>
        </is>
      </c>
      <c r="B5" s="10" t="inlineStr">
        <is>
          <t>STATIONERY OFFICE DEPOT</t>
        </is>
      </c>
      <c r="C5" s="10" t="inlineStr">
        <is>
          <t>(63,730)</t>
        </is>
      </c>
      <c r="D5" s="10" t="inlineStr">
        <is>
          <t>A780067</t>
        </is>
      </c>
    </row>
    <row r="6">
      <c r="A6" s="10" t="inlineStr">
        <is>
          <t>26/04/2026</t>
        </is>
      </c>
      <c r="B6" s="10" t="inlineStr">
        <is>
          <t xml:space="preserve">MUNICIPAL TAX PETAH TIKVA  </t>
        </is>
      </c>
      <c r="C6" s="10" t="inlineStr">
        <is>
          <t>(53,626)</t>
        </is>
      </c>
      <c r="D6" s="10" t="inlineStr">
        <is>
          <t>A780071</t>
        </is>
      </c>
    </row>
    <row r="7">
      <c r="A7" s="10" t="inlineStr">
        <is>
          <t>24.5.26</t>
        </is>
      </c>
      <c r="B7" s="10" t="inlineStr">
        <is>
          <t>PAYROLL  MONTHLY TRANSFER</t>
        </is>
      </c>
      <c r="C7" s="10" t="inlineStr">
        <is>
          <t>(150,118)</t>
        </is>
      </c>
      <c r="D7" s="10" t="inlineStr">
        <is>
          <t>A780077</t>
        </is>
      </c>
    </row>
    <row r="8">
      <c r="A8" s="10" t="inlineStr">
        <is>
          <t>19.1.26</t>
        </is>
      </c>
      <c r="B8" s="10" t="inlineStr">
        <is>
          <t xml:space="preserve">CUSTOMER  OFFICE PLUS CHAIN </t>
        </is>
      </c>
      <c r="C8" s="10" t="inlineStr">
        <is>
          <t>88,204</t>
        </is>
      </c>
      <c r="D8" s="10" t="inlineStr">
        <is>
          <t>A780014</t>
        </is>
      </c>
    </row>
    <row r="9">
      <c r="A9" s="10" t="inlineStr">
        <is>
          <t>10/05/2026</t>
        </is>
      </c>
      <c r="B9" s="10" t="inlineStr">
        <is>
          <t xml:space="preserve">RECEIPT FROM CUSTOMER ALPHA SYSTEMS  </t>
        </is>
      </c>
      <c r="C9" s="10" t="inlineStr">
        <is>
          <t>212,720</t>
        </is>
      </c>
      <c r="D9" s="10" t="inlineStr">
        <is>
          <t>A780079</t>
        </is>
      </c>
    </row>
    <row r="10">
      <c r="A10" s="10" t="inlineStr">
        <is>
          <t>18/03/2026</t>
        </is>
      </c>
      <c r="B10" s="10" t="inlineStr">
        <is>
          <t>PAYROLL  MONTHLY TRANSFER</t>
        </is>
      </c>
      <c r="C10" s="10" t="inlineStr">
        <is>
          <t xml:space="preserve"> (130,039) </t>
        </is>
      </c>
      <c r="D10" s="10" t="inlineStr">
        <is>
          <t>A780046</t>
        </is>
      </c>
    </row>
    <row r="11">
      <c r="A11" s="10" t="inlineStr">
        <is>
          <t>14/02/2026</t>
        </is>
      </c>
      <c r="B11" s="10" t="inlineStr">
        <is>
          <t>GOOGLE ADS CAMPAIGN</t>
        </is>
      </c>
      <c r="C11" s="10" t="inlineStr">
        <is>
          <t>(8,190)</t>
        </is>
      </c>
      <c r="D11" s="10" t="inlineStr">
        <is>
          <t>A780032</t>
        </is>
      </c>
    </row>
    <row r="12">
      <c r="A12" s="10" t="inlineStr">
        <is>
          <t>28/04/2026</t>
        </is>
      </c>
      <c r="B12" s="10" t="inlineStr">
        <is>
          <t>COFFEE AND KITCHEN SUPPLIES</t>
        </is>
      </c>
      <c r="C12" s="10" t="inlineStr">
        <is>
          <t>(23,498)</t>
        </is>
      </c>
      <c r="D12" s="10" t="inlineStr">
        <is>
          <t>A780061</t>
        </is>
      </c>
    </row>
    <row r="13">
      <c r="A13" s="10" t="inlineStr">
        <is>
          <t>14.5.26</t>
        </is>
      </c>
      <c r="B13" s="10" t="inlineStr">
        <is>
          <t xml:space="preserve">CUSTOMER MEGATECH LTD </t>
        </is>
      </c>
      <c r="C13" s="10" t="inlineStr">
        <is>
          <t>62,123</t>
        </is>
      </c>
      <c r="D13" s="10" t="inlineStr">
        <is>
          <t>A780076</t>
        </is>
      </c>
    </row>
    <row r="14">
      <c r="A14" s="10" t="inlineStr">
        <is>
          <t>04/06/2026</t>
        </is>
      </c>
      <c r="B14" s="10" t="inlineStr">
        <is>
          <t>ELECTRIC UTILITY</t>
        </is>
      </c>
      <c r="C14" s="10" t="inlineStr">
        <is>
          <t xml:space="preserve"> (59,804) </t>
        </is>
      </c>
      <c r="D14" s="10" t="inlineStr">
        <is>
          <t>A780104</t>
        </is>
      </c>
    </row>
    <row r="15">
      <c r="A15" s="10" t="inlineStr">
        <is>
          <t>01/05/2026</t>
        </is>
      </c>
      <c r="B15" s="10" t="inlineStr">
        <is>
          <t>ELECTRIC UTILITY</t>
        </is>
      </c>
      <c r="C15" s="10" t="inlineStr">
        <is>
          <t>(86,696)</t>
        </is>
      </c>
      <c r="D15" s="10" t="inlineStr">
        <is>
          <t>A780080</t>
        </is>
      </c>
    </row>
    <row r="16">
      <c r="A16" s="10" t="inlineStr">
        <is>
          <t>26/05/2026</t>
        </is>
      </c>
      <c r="B16" s="10" t="inlineStr">
        <is>
          <t>PENSION  EMPLOYER DEPOSIT</t>
        </is>
      </c>
      <c r="C16" s="10" t="inlineStr">
        <is>
          <t>(20,456)</t>
        </is>
      </c>
      <c r="D16" s="10" t="inlineStr">
        <is>
          <t>A780084</t>
        </is>
      </c>
    </row>
    <row r="17">
      <c r="A17" s="10" t="inlineStr">
        <is>
          <t>3.2.26</t>
        </is>
      </c>
      <c r="B17" s="10" t="inlineStr">
        <is>
          <t>ELECTRIC UTILITY</t>
        </is>
      </c>
      <c r="C17" s="10" t="inlineStr">
        <is>
          <t xml:space="preserve"> (72,136) </t>
        </is>
      </c>
      <c r="D17" s="10" t="inlineStr">
        <is>
          <t>A780029</t>
        </is>
      </c>
    </row>
    <row r="18">
      <c r="A18" s="10" t="inlineStr">
        <is>
          <t>26/05/2026</t>
        </is>
      </c>
      <c r="B18" s="10" t="inlineStr">
        <is>
          <t>OWNER DRAW</t>
        </is>
      </c>
      <c r="C18" s="10" t="inlineStr">
        <is>
          <t>(32,134)</t>
        </is>
      </c>
      <c r="D18" s="10" t="inlineStr">
        <is>
          <t>A780082</t>
        </is>
      </c>
    </row>
    <row r="19">
      <c r="A19" s="10" t="inlineStr">
        <is>
          <t>15.6.26</t>
        </is>
      </c>
      <c r="B19" s="10" t="inlineStr">
        <is>
          <t>RECEIPT FROM CUSTOMER NAVE HOLDINGS</t>
        </is>
      </c>
      <c r="C19" s="10" t="inlineStr">
        <is>
          <t xml:space="preserve"> 242,551 </t>
        </is>
      </c>
      <c r="D19" s="10" t="inlineStr">
        <is>
          <t>A780102</t>
        </is>
      </c>
    </row>
    <row r="20">
      <c r="A20" s="10" t="inlineStr">
        <is>
          <t>14.6.26</t>
        </is>
      </c>
      <c r="B20" s="10" t="inlineStr">
        <is>
          <t>PAYROLL  MONTHLY TRANSFER</t>
        </is>
      </c>
      <c r="C20" s="10" t="inlineStr">
        <is>
          <t xml:space="preserve"> (132,968) </t>
        </is>
      </c>
      <c r="D20" s="10" t="inlineStr">
        <is>
          <t>A780094</t>
        </is>
      </c>
    </row>
    <row r="21">
      <c r="A21" s="10" t="inlineStr">
        <is>
          <t>25/01/2026</t>
        </is>
      </c>
      <c r="B21" s="10" t="inlineStr">
        <is>
          <t>STATIONERY  OFFICE DEPOT</t>
        </is>
      </c>
      <c r="C21" s="10" t="inlineStr">
        <is>
          <t xml:space="preserve"> (5,933) </t>
        </is>
      </c>
      <c r="D21" s="10" t="inlineStr">
        <is>
          <t>A780019</t>
        </is>
      </c>
    </row>
    <row r="22">
      <c r="A22" s="10" t="inlineStr">
        <is>
          <t>28/01/2026</t>
        </is>
      </c>
      <c r="B22" s="10" t="inlineStr">
        <is>
          <t xml:space="preserve">RENT OFFICE AND WAREHOUSE </t>
        </is>
      </c>
      <c r="C22" s="10" t="inlineStr">
        <is>
          <t>(20,254)</t>
        </is>
      </c>
      <c r="D22" s="10" t="inlineStr">
        <is>
          <t>A780022</t>
        </is>
      </c>
    </row>
    <row r="23">
      <c r="A23" s="10" t="inlineStr">
        <is>
          <t>15.6.26</t>
        </is>
      </c>
      <c r="B23" s="10" t="inlineStr">
        <is>
          <t>RECEIPT FROM CUSTOMER NAVE HOLDINGS</t>
        </is>
      </c>
      <c r="C23" s="10" t="inlineStr">
        <is>
          <t xml:space="preserve"> 242,551 </t>
        </is>
      </c>
      <c r="D23" s="10" t="inlineStr">
        <is>
          <t>A780102</t>
        </is>
      </c>
    </row>
    <row r="24">
      <c r="A24" s="10" t="inlineStr">
        <is>
          <t>04/04/2026</t>
        </is>
      </c>
      <c r="B24" s="10" t="inlineStr">
        <is>
          <t>SUPPLIER GERMANY GMBH</t>
        </is>
      </c>
      <c r="C24" s="10" t="inlineStr">
        <is>
          <t>(339,366)</t>
        </is>
      </c>
      <c r="D24" s="10" t="inlineStr">
        <is>
          <t>A780075</t>
        </is>
      </c>
    </row>
    <row r="25">
      <c r="A25" s="10" t="inlineStr">
        <is>
          <t>13.2.26</t>
        </is>
      </c>
      <c r="B25" s="10" t="inlineStr">
        <is>
          <t>FACEBOOK ADS</t>
        </is>
      </c>
      <c r="C25" s="10" t="inlineStr">
        <is>
          <t xml:space="preserve"> (77,026) </t>
        </is>
      </c>
      <c r="D25" s="10" t="inlineStr">
        <is>
          <t>A780030</t>
        </is>
      </c>
    </row>
    <row r="26">
      <c r="A26" s="10" t="inlineStr">
        <is>
          <t>17/02/2026</t>
        </is>
      </c>
      <c r="B26" s="10" t="inlineStr">
        <is>
          <t>CUSTOMS CLEARANCE FEES</t>
        </is>
      </c>
      <c r="C26" s="10" t="inlineStr">
        <is>
          <t>(224,518)</t>
        </is>
      </c>
      <c r="D26" s="10" t="inlineStr">
        <is>
          <t>A780043</t>
        </is>
      </c>
    </row>
    <row r="27">
      <c r="A27" s="10" t="inlineStr">
        <is>
          <t>13/05/2026</t>
        </is>
      </c>
      <c r="B27" s="10" t="inlineStr">
        <is>
          <t>CUSTOMER  OFFICE PLUS CHAIN</t>
        </is>
      </c>
      <c r="C27" s="10" t="inlineStr">
        <is>
          <t>160,667</t>
        </is>
      </c>
      <c r="D27" s="10" t="inlineStr">
        <is>
          <t>A780087</t>
        </is>
      </c>
    </row>
    <row r="28">
      <c r="A28" s="10" t="inlineStr">
        <is>
          <t>15.3.26</t>
        </is>
      </c>
      <c r="B28" s="10" t="inlineStr">
        <is>
          <t xml:space="preserve">RENT  OFFICE AND WAREHOUSE </t>
        </is>
      </c>
      <c r="C28" s="10" t="inlineStr">
        <is>
          <t xml:space="preserve"> (72,227) </t>
        </is>
      </c>
      <c r="D28" s="10" t="inlineStr">
        <is>
          <t>A780048</t>
        </is>
      </c>
    </row>
    <row r="29">
      <c r="A29" s="10" t="inlineStr">
        <is>
          <t>3.1.26</t>
        </is>
      </c>
      <c r="B29" s="10" t="inlineStr">
        <is>
          <t>CUSTOMER MEGATECH LTD</t>
        </is>
      </c>
      <c r="C29" s="10" t="inlineStr">
        <is>
          <t>296,164</t>
        </is>
      </c>
      <c r="D29" s="10" t="inlineStr">
        <is>
          <t>A780025</t>
        </is>
      </c>
    </row>
    <row r="30">
      <c r="A30" s="10" t="inlineStr">
        <is>
          <t>24.1.26</t>
        </is>
      </c>
      <c r="B30" s="10" t="inlineStr">
        <is>
          <t>GARAGE  SERVICE 40K</t>
        </is>
      </c>
      <c r="C30" s="10" t="inlineStr">
        <is>
          <t>(6,961)</t>
        </is>
      </c>
      <c r="D30" s="10" t="inlineStr">
        <is>
          <t>A780024</t>
        </is>
      </c>
    </row>
    <row r="31">
      <c r="A31" s="10" t="inlineStr">
        <is>
          <t>04/02/2026</t>
        </is>
      </c>
      <c r="B31" s="10" t="inlineStr">
        <is>
          <t>TOLL ROAD MONTHLY</t>
        </is>
      </c>
      <c r="C31" s="10" t="inlineStr">
        <is>
          <t>(48,360)</t>
        </is>
      </c>
      <c r="D31" s="10" t="inlineStr">
        <is>
          <t>A780034</t>
        </is>
      </c>
    </row>
    <row r="32">
      <c r="A32" s="10" t="inlineStr">
        <is>
          <t>17/05/2026</t>
        </is>
      </c>
      <c r="B32" s="10" t="inlineStr">
        <is>
          <t>FACEBOOK  ADS</t>
        </is>
      </c>
      <c r="C32" s="10" t="inlineStr">
        <is>
          <t>(25,671)</t>
        </is>
      </c>
      <c r="D32" s="10" t="inlineStr">
        <is>
          <t>A780083</t>
        </is>
      </c>
    </row>
    <row r="33">
      <c r="A33" s="10" t="inlineStr">
        <is>
          <t>13/06/2026</t>
        </is>
      </c>
      <c r="B33" s="10" t="inlineStr">
        <is>
          <t>TOLL ROAD MONTHLY</t>
        </is>
      </c>
      <c r="C33" s="10" t="inlineStr">
        <is>
          <t>(14,598)</t>
        </is>
      </c>
      <c r="D33" s="10" t="inlineStr">
        <is>
          <t>A780105</t>
        </is>
      </c>
    </row>
    <row r="34">
      <c r="A34" s="10" t="inlineStr">
        <is>
          <t>24.1.26</t>
        </is>
      </c>
      <c r="B34" s="10" t="inlineStr">
        <is>
          <t xml:space="preserve">LAW OFFICE CONTRACTS </t>
        </is>
      </c>
      <c r="C34" s="10" t="inlineStr">
        <is>
          <t>(54,461)</t>
        </is>
      </c>
      <c r="D34" s="10" t="inlineStr">
        <is>
          <t>A780015</t>
        </is>
      </c>
    </row>
    <row r="35">
      <c r="A35" s="10" t="inlineStr">
        <is>
          <t>9.4.26</t>
        </is>
      </c>
      <c r="B35" s="10" t="inlineStr">
        <is>
          <t>RENT OFFICE AND WAREHOUSE</t>
        </is>
      </c>
      <c r="C35" s="10" t="inlineStr">
        <is>
          <t>(44,999)</t>
        </is>
      </c>
      <c r="D35" s="10" t="inlineStr">
        <is>
          <t>A780064</t>
        </is>
      </c>
    </row>
    <row r="36">
      <c r="A36" s="10" t="inlineStr">
        <is>
          <t>05/04/2026</t>
        </is>
      </c>
      <c r="B36" s="10" t="inlineStr">
        <is>
          <t>AUDITOR  PROF FEE QUARTERLY</t>
        </is>
      </c>
      <c r="C36" s="10" t="inlineStr">
        <is>
          <t>(49,969)</t>
        </is>
      </c>
      <c r="D36" s="10" t="inlineStr">
        <is>
          <t>A780073</t>
        </is>
      </c>
    </row>
    <row r="37">
      <c r="A37" s="10" t="inlineStr">
        <is>
          <t>24.2.26</t>
        </is>
      </c>
      <c r="B37" s="10" t="inlineStr">
        <is>
          <t>POSTAL SERVICE SHIPMENTS</t>
        </is>
      </c>
      <c r="C37" s="10" t="inlineStr">
        <is>
          <t>(30,760)</t>
        </is>
      </c>
      <c r="D37" s="10" t="inlineStr">
        <is>
          <t>A780036</t>
        </is>
      </c>
    </row>
    <row r="38">
      <c r="A38" s="10" t="inlineStr">
        <is>
          <t>11.3.26</t>
        </is>
      </c>
      <c r="B38" s="10" t="inlineStr">
        <is>
          <t xml:space="preserve">CLEARING FEES CREDIT CARDS </t>
        </is>
      </c>
      <c r="C38" s="10" t="inlineStr">
        <is>
          <t>(81,094)</t>
        </is>
      </c>
      <c r="D38" s="10" t="inlineStr">
        <is>
          <t>A780044</t>
        </is>
      </c>
    </row>
    <row r="39">
      <c r="A39" s="10" t="inlineStr">
        <is>
          <t>4.3.26</t>
        </is>
      </c>
      <c r="B39" s="10" t="inlineStr">
        <is>
          <t>ELECTRIC UTILITY</t>
        </is>
      </c>
      <c r="C39" s="10" t="inlineStr">
        <is>
          <t>(20,522)</t>
        </is>
      </c>
      <c r="D39" s="10" t="inlineStr">
        <is>
          <t>A780057</t>
        </is>
      </c>
    </row>
    <row r="40">
      <c r="A40" s="10" t="inlineStr">
        <is>
          <t>15.5.26</t>
        </is>
      </c>
      <c r="B40" s="10" t="inlineStr">
        <is>
          <t>GOOGLE ADS CAMPAIGN</t>
        </is>
      </c>
      <c r="C40" s="10" t="inlineStr">
        <is>
          <t xml:space="preserve"> (9,768) </t>
        </is>
      </c>
      <c r="D40" s="10" t="inlineStr">
        <is>
          <t>A780088</t>
        </is>
      </c>
    </row>
    <row r="41">
      <c r="A41" s="10" t="inlineStr">
        <is>
          <t>19/01/2026</t>
        </is>
      </c>
      <c r="B41" s="10" t="inlineStr">
        <is>
          <t>FACEBOOK  ADS</t>
        </is>
      </c>
      <c r="C41" s="10" t="inlineStr">
        <is>
          <t>(16,863)</t>
        </is>
      </c>
      <c r="D41" s="10" t="inlineStr">
        <is>
          <t>A780020</t>
        </is>
      </c>
    </row>
    <row r="42">
      <c r="A42" s="10" t="inlineStr">
        <is>
          <t>11/01/2026</t>
        </is>
      </c>
      <c r="B42" s="10" t="inlineStr">
        <is>
          <t xml:space="preserve">LEASE COMPANY CAR </t>
        </is>
      </c>
      <c r="C42" s="10" t="inlineStr">
        <is>
          <t>(62,483)</t>
        </is>
      </c>
      <c r="D42" s="10" t="inlineStr">
        <is>
          <t>A780018</t>
        </is>
      </c>
    </row>
    <row r="43">
      <c r="A43" s="10" t="inlineStr">
        <is>
          <t>8.3.26</t>
        </is>
      </c>
      <c r="B43" s="10" t="inlineStr">
        <is>
          <t>GARAGE  SERVICE 40K</t>
        </is>
      </c>
      <c r="C43" s="10" t="inlineStr">
        <is>
          <t>(4,971)</t>
        </is>
      </c>
      <c r="D43" s="10" t="inlineStr">
        <is>
          <t>A780049</t>
        </is>
      </c>
    </row>
    <row r="44">
      <c r="A44" s="10" t="inlineStr">
        <is>
          <t>18/04/2026</t>
        </is>
      </c>
      <c r="B44" s="10" t="inlineStr">
        <is>
          <t>CUSTOMER OFFICE PLUS CHAIN</t>
        </is>
      </c>
      <c r="C44" s="10" t="inlineStr">
        <is>
          <t xml:space="preserve"> 141,956 </t>
        </is>
      </c>
      <c r="D44" s="10" t="inlineStr">
        <is>
          <t>A780060</t>
        </is>
      </c>
    </row>
    <row r="45">
      <c r="A45" s="10" t="inlineStr">
        <is>
          <t>13/06/2026</t>
        </is>
      </c>
      <c r="B45" s="10" t="inlineStr">
        <is>
          <t>TOLL ROAD MONTHLY</t>
        </is>
      </c>
      <c r="C45" s="10" t="inlineStr">
        <is>
          <t>(14,598)</t>
        </is>
      </c>
      <c r="D45" s="10" t="inlineStr">
        <is>
          <t>A780105</t>
        </is>
      </c>
    </row>
    <row r="46">
      <c r="A46" s="10" t="inlineStr">
        <is>
          <t>02/01/2026</t>
        </is>
      </c>
      <c r="B46" s="10" t="inlineStr">
        <is>
          <t>BANK FEE ACCOUNT MGMT</t>
        </is>
      </c>
      <c r="C46" s="10" t="inlineStr">
        <is>
          <t>(89,433)</t>
        </is>
      </c>
      <c r="D46" s="10" t="inlineStr">
        <is>
          <t>A780023</t>
        </is>
      </c>
    </row>
    <row r="47">
      <c r="A47" s="10" t="inlineStr">
        <is>
          <t>15/01/2026</t>
        </is>
      </c>
      <c r="B47" s="10" t="inlineStr">
        <is>
          <t>SUPPLIER GERMANY GMBH</t>
        </is>
      </c>
      <c r="C47" s="10" t="inlineStr">
        <is>
          <t>(333,393)</t>
        </is>
      </c>
      <c r="D47" s="10" t="inlineStr">
        <is>
          <t>A780026</t>
        </is>
      </c>
    </row>
    <row r="48">
      <c r="A48" s="10" t="inlineStr">
        <is>
          <t>16.5.26</t>
        </is>
      </c>
      <c r="B48" s="10" t="inlineStr">
        <is>
          <t>VAT BIMONTHLY PAYMENT</t>
        </is>
      </c>
      <c r="C48" s="10" t="inlineStr">
        <is>
          <t>(8,238)</t>
        </is>
      </c>
      <c r="D48" s="10" t="inlineStr">
        <is>
          <t>A780081</t>
        </is>
      </c>
    </row>
    <row r="49">
      <c r="A49" s="10" t="inlineStr">
        <is>
          <t>9.6.26</t>
        </is>
      </c>
      <c r="B49" s="10" t="inlineStr">
        <is>
          <t>RESTAURANT  CLIENT HOSTING</t>
        </is>
      </c>
      <c r="C49" s="10" t="inlineStr">
        <is>
          <t>(10,694)</t>
        </is>
      </c>
      <c r="D49" s="10" t="inlineStr">
        <is>
          <t>A780100</t>
        </is>
      </c>
    </row>
    <row r="50">
      <c r="A50" s="10" t="inlineStr">
        <is>
          <t>16.4.26</t>
        </is>
      </c>
      <c r="B50" s="10" t="inlineStr">
        <is>
          <t>SUPPLIER ACCESSORIES LTD</t>
        </is>
      </c>
      <c r="C50" s="10" t="inlineStr">
        <is>
          <t>(410,404)</t>
        </is>
      </c>
      <c r="D50" s="10" t="inlineStr">
        <is>
          <t>A780074</t>
        </is>
      </c>
    </row>
    <row r="51">
      <c r="A51" s="10" t="inlineStr">
        <is>
          <t>28.6.26</t>
        </is>
      </c>
      <c r="B51" s="10" t="inlineStr">
        <is>
          <t>BANK FEE ACCOUNT MGMT</t>
        </is>
      </c>
      <c r="C51" s="10" t="inlineStr">
        <is>
          <t>(56,344)</t>
        </is>
      </c>
      <c r="D51" s="10" t="inlineStr">
        <is>
          <t>A780093</t>
        </is>
      </c>
    </row>
    <row r="52">
      <c r="A52" s="10" t="inlineStr">
        <is>
          <t>04/03/2026</t>
        </is>
      </c>
      <c r="B52" s="10" t="inlineStr">
        <is>
          <t>FUEL STATION CARD</t>
        </is>
      </c>
      <c r="C52" s="10" t="inlineStr">
        <is>
          <t xml:space="preserve"> (6,291) </t>
        </is>
      </c>
      <c r="D52" s="10" t="inlineStr">
        <is>
          <t>A780051</t>
        </is>
      </c>
    </row>
    <row r="53">
      <c r="A53" s="10" t="inlineStr">
        <is>
          <t>03/02/2026</t>
        </is>
      </c>
      <c r="B53" s="10" t="inlineStr">
        <is>
          <t>RESTAURANT CLIENT HOSTING</t>
        </is>
      </c>
      <c r="C53" s="10" t="inlineStr">
        <is>
          <t>(60,774)</t>
        </is>
      </c>
      <c r="D53" s="10" t="inlineStr">
        <is>
          <t>A780035</t>
        </is>
      </c>
    </row>
    <row r="54">
      <c r="A54" s="10" t="inlineStr">
        <is>
          <t>22/05/2026</t>
        </is>
      </c>
      <c r="B54" s="10" t="inlineStr">
        <is>
          <t>INTEREST ON BANK CREDIT</t>
        </is>
      </c>
      <c r="C54" s="10" t="inlineStr">
        <is>
          <t>(78,425)</t>
        </is>
      </c>
      <c r="D54" s="10" t="inlineStr">
        <is>
          <t>A780078</t>
        </is>
      </c>
    </row>
    <row r="55">
      <c r="A55" s="10" t="inlineStr">
        <is>
          <t>01/06/2026</t>
        </is>
      </c>
      <c r="B55" s="10" t="inlineStr">
        <is>
          <t>SUPPLIER GERMANY GMBH</t>
        </is>
      </c>
      <c r="C55" s="10" t="inlineStr">
        <is>
          <t>(369,170)</t>
        </is>
      </c>
      <c r="D55" s="10" t="inlineStr">
        <is>
          <t>A780107</t>
        </is>
      </c>
    </row>
    <row r="56">
      <c r="A56" s="10" t="inlineStr">
        <is>
          <t>7.4.26</t>
        </is>
      </c>
      <c r="B56" s="10" t="inlineStr">
        <is>
          <t xml:space="preserve">RESTAURANT CLIENT HOSTING </t>
        </is>
      </c>
      <c r="C56" s="10" t="inlineStr">
        <is>
          <t>(52,880)</t>
        </is>
      </c>
      <c r="D56" s="10" t="inlineStr">
        <is>
          <t>A780066</t>
        </is>
      </c>
    </row>
    <row r="57">
      <c r="A57" s="10" t="inlineStr">
        <is>
          <t>07/06/2026</t>
        </is>
      </c>
      <c r="B57" s="10" t="inlineStr">
        <is>
          <t>VAT  BIMONTHLY PAYMENT</t>
        </is>
      </c>
      <c r="C57" s="10" t="inlineStr">
        <is>
          <t>(59,302)</t>
        </is>
      </c>
      <c r="D57" s="10" t="inlineStr">
        <is>
          <t>A780101</t>
        </is>
      </c>
    </row>
    <row r="58">
      <c r="A58" s="10" t="inlineStr">
        <is>
          <t>25.3.26</t>
        </is>
      </c>
      <c r="B58" s="10" t="inlineStr">
        <is>
          <t xml:space="preserve">RECEIPT FROM CUSTOMER NAVE HOLDINGS </t>
        </is>
      </c>
      <c r="C58" s="10" t="inlineStr">
        <is>
          <t xml:space="preserve"> 267,718 </t>
        </is>
      </c>
      <c r="D58" s="10" t="inlineStr">
        <is>
          <t>A780052</t>
        </is>
      </c>
    </row>
    <row r="59">
      <c r="A59" s="10" t="inlineStr">
        <is>
          <t>25.6.26</t>
        </is>
      </c>
      <c r="B59" s="10" t="inlineStr">
        <is>
          <t>LAW OFFICE CONTRACTS</t>
        </is>
      </c>
      <c r="C59" s="10" t="inlineStr">
        <is>
          <t>(9,690)</t>
        </is>
      </c>
      <c r="D59" s="10" t="inlineStr">
        <is>
          <t>A780097</t>
        </is>
      </c>
    </row>
    <row r="60">
      <c r="A60" s="10" t="inlineStr">
        <is>
          <t>9.3.26</t>
        </is>
      </c>
      <c r="B60" s="10" t="inlineStr">
        <is>
          <t>CUSTOMER OFFICE PLUS CHAIN</t>
        </is>
      </c>
      <c r="C60" s="10" t="inlineStr">
        <is>
          <t>170,994</t>
        </is>
      </c>
      <c r="D60" s="10" t="inlineStr">
        <is>
          <t>A780056</t>
        </is>
      </c>
    </row>
    <row r="61">
      <c r="A61" s="10" t="inlineStr">
        <is>
          <t>5.5.26</t>
        </is>
      </c>
      <c r="B61" s="10" t="inlineStr">
        <is>
          <t>SUPPLIER GERMANY GMBH</t>
        </is>
      </c>
      <c r="C61" s="10" t="inlineStr">
        <is>
          <t>(355,770)</t>
        </is>
      </c>
      <c r="D61" s="10" t="inlineStr">
        <is>
          <t>A780091</t>
        </is>
      </c>
    </row>
    <row r="62">
      <c r="A62" s="10" t="inlineStr">
        <is>
          <t>28.3.26</t>
        </is>
      </c>
      <c r="B62" s="10" t="inlineStr">
        <is>
          <t xml:space="preserve">TOLL  ROAD MONTHLY </t>
        </is>
      </c>
      <c r="C62" s="10" t="inlineStr">
        <is>
          <t xml:space="preserve"> (52,353) </t>
        </is>
      </c>
      <c r="D62" s="10" t="inlineStr">
        <is>
          <t>A780053</t>
        </is>
      </c>
    </row>
    <row r="63">
      <c r="A63" s="10" t="inlineStr">
        <is>
          <t>07/04/2026</t>
        </is>
      </c>
      <c r="B63" s="10" t="inlineStr">
        <is>
          <t xml:space="preserve">CLEARING FEES CREDIT CARDS </t>
        </is>
      </c>
      <c r="C63" s="10" t="inlineStr">
        <is>
          <t>(51,812)</t>
        </is>
      </c>
      <c r="D63" s="10" t="inlineStr">
        <is>
          <t>A780069</t>
        </is>
      </c>
    </row>
    <row r="64">
      <c r="A64" s="10" t="inlineStr">
        <is>
          <t>16.4.26</t>
        </is>
      </c>
      <c r="B64" s="10" t="inlineStr">
        <is>
          <t xml:space="preserve">CUSTOMER  MEGATECH LTD </t>
        </is>
      </c>
      <c r="C64" s="10" t="inlineStr">
        <is>
          <t xml:space="preserve"> 154,283 </t>
        </is>
      </c>
      <c r="D64" s="10" t="inlineStr">
        <is>
          <t>A780065</t>
        </is>
      </c>
    </row>
    <row r="65">
      <c r="A65" s="10" t="inlineStr">
        <is>
          <t>11/05/2026</t>
        </is>
      </c>
      <c r="B65" s="10" t="inlineStr">
        <is>
          <t>SUPPLIER ACCESSORIES LTD</t>
        </is>
      </c>
      <c r="C65" s="10" t="inlineStr">
        <is>
          <t>(261,583)</t>
        </is>
      </c>
      <c r="D65" s="10" t="inlineStr">
        <is>
          <t>A780090</t>
        </is>
      </c>
    </row>
    <row r="66">
      <c r="A66" s="10" t="inlineStr">
        <is>
          <t>21/05/2026</t>
        </is>
      </c>
      <c r="B66" s="10" t="inlineStr">
        <is>
          <t xml:space="preserve">GARAGE SERVICE 40K </t>
        </is>
      </c>
      <c r="C66" s="10" t="inlineStr">
        <is>
          <t>(48,300)</t>
        </is>
      </c>
      <c r="D66" s="10" t="inlineStr">
        <is>
          <t>A780086</t>
        </is>
      </c>
    </row>
    <row r="67">
      <c r="A67" s="10" t="inlineStr">
        <is>
          <t>17/02/2026</t>
        </is>
      </c>
      <c r="B67" s="10" t="inlineStr">
        <is>
          <t>IMPORT FREIGHT AGENT</t>
        </is>
      </c>
      <c r="C67" s="10" t="inlineStr">
        <is>
          <t>(403,792)</t>
        </is>
      </c>
      <c r="D67" s="10" t="inlineStr">
        <is>
          <t>A780042</t>
        </is>
      </c>
    </row>
    <row r="68">
      <c r="A68" s="10" t="inlineStr">
        <is>
          <t>16/02/2026</t>
        </is>
      </c>
      <c r="B68" s="10" t="inlineStr">
        <is>
          <t>CUSTOMER  OFFICE PLUS CHAIN</t>
        </is>
      </c>
      <c r="C68" s="10" t="inlineStr">
        <is>
          <t xml:space="preserve"> 259,022 </t>
        </is>
      </c>
      <c r="D68" s="10" t="inlineStr">
        <is>
          <t>A780033</t>
        </is>
      </c>
    </row>
    <row r="69">
      <c r="A69" s="10" t="inlineStr">
        <is>
          <t>14/02/2026</t>
        </is>
      </c>
      <c r="B69" s="10" t="inlineStr">
        <is>
          <t>INTEREST  ON BANK CREDIT</t>
        </is>
      </c>
      <c r="C69" s="10" t="inlineStr">
        <is>
          <t>(21,229)</t>
        </is>
      </c>
      <c r="D69" s="10" t="inlineStr">
        <is>
          <t>A780028</t>
        </is>
      </c>
    </row>
    <row r="70">
      <c r="A70" s="10" t="inlineStr">
        <is>
          <t>11/05/2026</t>
        </is>
      </c>
      <c r="B70" s="10" t="inlineStr">
        <is>
          <t xml:space="preserve">COFFEE AND KITCHEN SUPPLIES </t>
        </is>
      </c>
      <c r="C70" s="10" t="inlineStr">
        <is>
          <t>(4,088)</t>
        </is>
      </c>
      <c r="D70" s="10" t="inlineStr">
        <is>
          <t>A780089</t>
        </is>
      </c>
    </row>
    <row r="71">
      <c r="A71" s="10" t="inlineStr">
        <is>
          <t>21.6.26</t>
        </is>
      </c>
      <c r="B71" s="10" t="inlineStr">
        <is>
          <t xml:space="preserve">MUNICIPAL TAX PETAH TIKVA </t>
        </is>
      </c>
      <c r="C71" s="10" t="inlineStr">
        <is>
          <t xml:space="preserve"> (75,925) </t>
        </is>
      </c>
      <c r="D71" s="10" t="inlineStr">
        <is>
          <t>A780096</t>
        </is>
      </c>
    </row>
    <row r="72">
      <c r="A72" s="10" t="inlineStr">
        <is>
          <t>28/04/2026</t>
        </is>
      </c>
      <c r="B72" s="10" t="inlineStr">
        <is>
          <t>OWNER DRAW</t>
        </is>
      </c>
      <c r="C72" s="10" t="inlineStr">
        <is>
          <t xml:space="preserve"> (62,538) </t>
        </is>
      </c>
      <c r="D72" s="10" t="inlineStr">
        <is>
          <t>A780062</t>
        </is>
      </c>
    </row>
    <row r="73">
      <c r="A73" s="10" t="inlineStr">
        <is>
          <t>17/04/2026</t>
        </is>
      </c>
      <c r="B73" s="10" t="inlineStr">
        <is>
          <t>LEASE COMPANY CAR</t>
        </is>
      </c>
      <c r="C73" s="10" t="inlineStr">
        <is>
          <t>(74,542)</t>
        </is>
      </c>
      <c r="D73" s="10" t="inlineStr">
        <is>
          <t>A780063</t>
        </is>
      </c>
    </row>
    <row r="74">
      <c r="A74" s="10" t="inlineStr">
        <is>
          <t>22/03/2026</t>
        </is>
      </c>
      <c r="B74" s="10" t="inlineStr">
        <is>
          <t>SUPPLIER CHINA TECHPRO LTD</t>
        </is>
      </c>
      <c r="C74" s="10" t="inlineStr">
        <is>
          <t>(285,390)</t>
        </is>
      </c>
      <c r="D74" s="10" t="inlineStr">
        <is>
          <t>A780059</t>
        </is>
      </c>
    </row>
    <row r="75">
      <c r="A75" s="10" t="inlineStr">
        <is>
          <t>24.5.26</t>
        </is>
      </c>
      <c r="B75" s="10" t="inlineStr">
        <is>
          <t>PAYROLL  MONTHLY TRANSFER</t>
        </is>
      </c>
      <c r="C75" s="10" t="inlineStr">
        <is>
          <t>(150,118)</t>
        </is>
      </c>
      <c r="D75" s="10" t="inlineStr">
        <is>
          <t>A780077</t>
        </is>
      </c>
    </row>
    <row r="76">
      <c r="A76" s="10" t="inlineStr">
        <is>
          <t>24.2.26</t>
        </is>
      </c>
      <c r="B76" s="10" t="inlineStr">
        <is>
          <t>POSTAL SERVICE SHIPMENTS</t>
        </is>
      </c>
      <c r="C76" s="10" t="inlineStr">
        <is>
          <t>(30,760)</t>
        </is>
      </c>
      <c r="D76" s="10" t="inlineStr">
        <is>
          <t>A780036</t>
        </is>
      </c>
    </row>
    <row r="77">
      <c r="A77" s="10" t="inlineStr">
        <is>
          <t>06/03/2026</t>
        </is>
      </c>
      <c r="B77" s="10" t="inlineStr">
        <is>
          <t>CUSTOMER  MEGATECH LTD</t>
        </is>
      </c>
      <c r="C77" s="10" t="inlineStr">
        <is>
          <t>255,739</t>
        </is>
      </c>
      <c r="D77" s="10" t="inlineStr">
        <is>
          <t>A780045</t>
        </is>
      </c>
    </row>
    <row r="78">
      <c r="A78" s="10" t="inlineStr">
        <is>
          <t>13/02/2026</t>
        </is>
      </c>
      <c r="B78" s="10" t="inlineStr">
        <is>
          <t>PENSION  EMPLOYER DEPOSIT</t>
        </is>
      </c>
      <c r="C78" s="10" t="inlineStr">
        <is>
          <t>(62,980)</t>
        </is>
      </c>
      <c r="D78" s="10" t="inlineStr">
        <is>
          <t>A780038</t>
        </is>
      </c>
    </row>
    <row r="79">
      <c r="A79" s="10" t="inlineStr">
        <is>
          <t>25.2.26</t>
        </is>
      </c>
      <c r="B79" s="10" t="inlineStr">
        <is>
          <t xml:space="preserve">STATIONERY OFFICE DEPOT </t>
        </is>
      </c>
      <c r="C79" s="10" t="inlineStr">
        <is>
          <t>(75,446)</t>
        </is>
      </c>
      <c r="D79" s="10" t="inlineStr">
        <is>
          <t>A780041</t>
        </is>
      </c>
    </row>
    <row r="80">
      <c r="A80" s="10" t="inlineStr">
        <is>
          <t>12/02/2026</t>
        </is>
      </c>
      <c r="B80" s="10" t="inlineStr">
        <is>
          <t>CLEARING  FEES CREDIT CARDS</t>
        </is>
      </c>
      <c r="C80" s="10" t="inlineStr">
        <is>
          <t>(26,448)</t>
        </is>
      </c>
      <c r="D80" s="10" t="inlineStr">
        <is>
          <t>A780040</t>
        </is>
      </c>
    </row>
    <row r="81">
      <c r="A81" s="10" t="inlineStr">
        <is>
          <t>08/03/2026</t>
        </is>
      </c>
      <c r="B81" s="10" t="inlineStr">
        <is>
          <t>STATIONERY OFFICE DEPOT</t>
        </is>
      </c>
      <c r="C81" s="10" t="inlineStr">
        <is>
          <t xml:space="preserve"> (63,066) </t>
        </is>
      </c>
      <c r="D81" s="10" t="inlineStr">
        <is>
          <t>A780050</t>
        </is>
      </c>
    </row>
    <row r="82">
      <c r="A82" s="10" t="inlineStr">
        <is>
          <t>14.4.26</t>
        </is>
      </c>
      <c r="B82" s="10" t="inlineStr">
        <is>
          <t>GOOGLE  ADS CAMPAIGN</t>
        </is>
      </c>
      <c r="C82" s="10" t="inlineStr">
        <is>
          <t>(60,988)</t>
        </is>
      </c>
      <c r="D82" s="10" t="inlineStr">
        <is>
          <t>A780070</t>
        </is>
      </c>
    </row>
    <row r="83">
      <c r="A83" s="10" t="inlineStr">
        <is>
          <t>20/01/2026</t>
        </is>
      </c>
      <c r="B83" s="10" t="inlineStr">
        <is>
          <t>SUPPLIER ACCESSORIES LTD</t>
        </is>
      </c>
      <c r="C83" s="10" t="inlineStr">
        <is>
          <t>(202,007)</t>
        </is>
      </c>
      <c r="D83" s="10" t="inlineStr">
        <is>
          <t>A780027</t>
        </is>
      </c>
    </row>
    <row r="84">
      <c r="A84" s="10" t="inlineStr">
        <is>
          <t>26/06/2026</t>
        </is>
      </c>
      <c r="B84" s="10" t="inlineStr">
        <is>
          <t>IMPORT FREIGHT AGENT</t>
        </is>
      </c>
      <c r="C84" s="10" t="inlineStr">
        <is>
          <t>(308,935)</t>
        </is>
      </c>
      <c r="D84" s="10" t="inlineStr">
        <is>
          <t>A780106</t>
        </is>
      </c>
    </row>
    <row r="85">
      <c r="A85" s="10" t="inlineStr">
        <is>
          <t>13/06/2026</t>
        </is>
      </c>
      <c r="B85" s="10" t="inlineStr">
        <is>
          <t xml:space="preserve">SOCIAL SEC WITHHOLDING </t>
        </is>
      </c>
      <c r="C85" s="10" t="inlineStr">
        <is>
          <t>(42,611)</t>
        </is>
      </c>
      <c r="D85" s="10" t="inlineStr">
        <is>
          <t>A780099</t>
        </is>
      </c>
    </row>
    <row r="86">
      <c r="A86" s="10" t="inlineStr">
        <is>
          <t>1.4.26</t>
        </is>
      </c>
      <c r="B86" s="10" t="inlineStr">
        <is>
          <t>ELECTRIC UTILITY</t>
        </is>
      </c>
      <c r="C86" s="10" t="inlineStr">
        <is>
          <t>(70,158)</t>
        </is>
      </c>
      <c r="D86" s="10" t="inlineStr">
        <is>
          <t>A780068</t>
        </is>
      </c>
    </row>
    <row r="87">
      <c r="A87" s="10" t="inlineStr">
        <is>
          <t>05/04/2026</t>
        </is>
      </c>
      <c r="B87" s="10" t="inlineStr">
        <is>
          <t xml:space="preserve">RECEIPT  FROM CUSTOMER ALPHA SYSTEMS </t>
        </is>
      </c>
      <c r="C87" s="10" t="inlineStr">
        <is>
          <t xml:space="preserve"> 219,920 </t>
        </is>
      </c>
      <c r="D87" s="10" t="inlineStr">
        <is>
          <t>A780072</t>
        </is>
      </c>
    </row>
    <row r="88">
      <c r="A88" s="10" t="inlineStr">
        <is>
          <t>13/02/2026</t>
        </is>
      </c>
      <c r="B88" s="10" t="inlineStr">
        <is>
          <t>PENSION  EMPLOYER DEPOSIT</t>
        </is>
      </c>
      <c r="C88" s="10" t="inlineStr">
        <is>
          <t>(62,980)</t>
        </is>
      </c>
      <c r="D88" s="10" t="inlineStr">
        <is>
          <t>A780038</t>
        </is>
      </c>
    </row>
    <row r="89">
      <c r="A89" s="10" t="inlineStr">
        <is>
          <t>09/01/2026</t>
        </is>
      </c>
      <c r="B89" s="10" t="inlineStr">
        <is>
          <t>RECEIPT FROM CUSTOMER ALPHA SYSTEMS</t>
        </is>
      </c>
      <c r="C89" s="10" t="inlineStr">
        <is>
          <t xml:space="preserve"> 228,661 </t>
        </is>
      </c>
      <c r="D89" s="10" t="inlineStr">
        <is>
          <t>A780013</t>
        </is>
      </c>
    </row>
    <row r="90">
      <c r="A90" s="10" t="inlineStr">
        <is>
          <t>28.1.26</t>
        </is>
      </c>
      <c r="B90" s="10" t="inlineStr">
        <is>
          <t>MUNICIPAL TAX PETAH TIKVA</t>
        </is>
      </c>
      <c r="C90" s="10" t="inlineStr">
        <is>
          <t>(15,448)</t>
        </is>
      </c>
      <c r="D90" s="10" t="inlineStr">
        <is>
          <t>A780017</t>
        </is>
      </c>
    </row>
    <row r="91">
      <c r="A91" s="10" t="inlineStr">
        <is>
          <t>03/05/2026</t>
        </is>
      </c>
      <c r="B91" s="10" t="inlineStr">
        <is>
          <t xml:space="preserve">AUDITOR PROF FEE QUARTERLY </t>
        </is>
      </c>
      <c r="C91" s="10" t="inlineStr">
        <is>
          <t xml:space="preserve"> (49,900) </t>
        </is>
      </c>
      <c r="D91" s="10" t="inlineStr">
        <is>
          <t>A780085</t>
        </is>
      </c>
    </row>
    <row r="92">
      <c r="A92" s="10" t="inlineStr">
        <is>
          <t>15/06/2026</t>
        </is>
      </c>
      <c r="B92" s="10" t="inlineStr">
        <is>
          <t xml:space="preserve">CUSTOMER MEGATECH LTD </t>
        </is>
      </c>
      <c r="C92" s="10" t="inlineStr">
        <is>
          <t>187,220</t>
        </is>
      </c>
      <c r="D92" s="10" t="inlineStr">
        <is>
          <t>A780098</t>
        </is>
      </c>
    </row>
    <row r="93">
      <c r="A93" s="10" t="inlineStr">
        <is>
          <t>04/02/2026</t>
        </is>
      </c>
      <c r="B93" s="10" t="inlineStr">
        <is>
          <t>WITHHOLDING FORM 102</t>
        </is>
      </c>
      <c r="C93" s="10" t="inlineStr">
        <is>
          <t>(3,365)</t>
        </is>
      </c>
      <c r="D93" s="10" t="inlineStr">
        <is>
          <t>A780039</t>
        </is>
      </c>
    </row>
    <row r="94">
      <c r="A94" s="10" t="inlineStr">
        <is>
          <t>03/02/2026</t>
        </is>
      </c>
      <c r="B94" s="10" t="inlineStr">
        <is>
          <t xml:space="preserve">GARAGE  SERVICE 40K  </t>
        </is>
      </c>
      <c r="C94" s="10" t="inlineStr">
        <is>
          <t>(49,236)</t>
        </is>
      </c>
      <c r="D94" s="10" t="inlineStr">
        <is>
          <t>A780037</t>
        </is>
      </c>
    </row>
    <row r="95">
      <c r="A95" s="10" t="inlineStr">
        <is>
          <t>23.3.26</t>
        </is>
      </c>
      <c r="B95" s="10" t="inlineStr">
        <is>
          <t xml:space="preserve">WITHHOLDING  FORM 102 </t>
        </is>
      </c>
      <c r="C95" s="10" t="inlineStr">
        <is>
          <t>(22,206)</t>
        </is>
      </c>
      <c r="D95" s="10" t="inlineStr">
        <is>
          <t>A780055</t>
        </is>
      </c>
    </row>
    <row r="96">
      <c r="A96" s="10" t="inlineStr">
        <is>
          <t>2.1.26</t>
        </is>
      </c>
      <c r="B96" s="10" t="inlineStr">
        <is>
          <t xml:space="preserve">PENSION EMPLOYER DEPOSIT  </t>
        </is>
      </c>
      <c r="C96" s="10" t="inlineStr">
        <is>
          <t>(14,512)</t>
        </is>
      </c>
      <c r="D96" s="10" t="inlineStr">
        <is>
          <t>A780012</t>
        </is>
      </c>
    </row>
    <row r="97">
      <c r="A97" s="10" t="inlineStr">
        <is>
          <t>20.6.26</t>
        </is>
      </c>
      <c r="B97" s="10" t="inlineStr">
        <is>
          <t xml:space="preserve">PENSION EMPLOYER DEPOSIT </t>
        </is>
      </c>
      <c r="C97" s="10" t="inlineStr">
        <is>
          <t>(63,173)</t>
        </is>
      </c>
      <c r="D97" s="10" t="inlineStr">
        <is>
          <t>A780103</t>
        </is>
      </c>
    </row>
    <row r="98">
      <c r="A98" s="10" t="inlineStr">
        <is>
          <t>26.3.26</t>
        </is>
      </c>
      <c r="B98" s="10" t="inlineStr">
        <is>
          <t>PENSION EMPLOYER DEPOSIT</t>
        </is>
      </c>
      <c r="C98" s="10" t="inlineStr">
        <is>
          <t>(70,178)</t>
        </is>
      </c>
      <c r="D98" s="10" t="inlineStr">
        <is>
          <t>A780054</t>
        </is>
      </c>
    </row>
    <row r="99">
      <c r="A99" s="10" t="inlineStr">
        <is>
          <t>21/01/2026</t>
        </is>
      </c>
      <c r="B99" s="10" t="inlineStr">
        <is>
          <t>OWNER DRAW</t>
        </is>
      </c>
      <c r="C99" s="10" t="inlineStr">
        <is>
          <t>(31,897)</t>
        </is>
      </c>
      <c r="D99" s="10" t="inlineStr">
        <is>
          <t>A780021</t>
        </is>
      </c>
    </row>
    <row r="100">
      <c r="A100" s="10" t="inlineStr">
        <is>
          <t>24/06/2026</t>
        </is>
      </c>
      <c r="B100" s="10" t="inlineStr">
        <is>
          <t>TAX ADVANCE PAYMENT</t>
        </is>
      </c>
      <c r="C100" s="10" t="inlineStr">
        <is>
          <t>(47,925)</t>
        </is>
      </c>
      <c r="D100" s="10" t="inlineStr">
        <is>
          <t>A780092</t>
        </is>
      </c>
    </row>
    <row r="101">
      <c r="A101" s="10" t="inlineStr">
        <is>
          <t>25/01/2026</t>
        </is>
      </c>
      <c r="B101" s="10" t="inlineStr">
        <is>
          <t>ELECTRIC UTILITY</t>
        </is>
      </c>
      <c r="C101" s="10" t="inlineStr">
        <is>
          <t xml:space="preserve"> (61,325) </t>
        </is>
      </c>
      <c r="D101" s="10" t="inlineStr">
        <is>
          <t>A780016</t>
        </is>
      </c>
    </row>
    <row r="102">
      <c r="A102" s="10" t="inlineStr">
        <is>
          <t>08/03/2026</t>
        </is>
      </c>
      <c r="B102" s="10" t="inlineStr">
        <is>
          <t>VAT  BIMONTHLY PAYMENT</t>
        </is>
      </c>
      <c r="C102" s="10" t="inlineStr">
        <is>
          <t xml:space="preserve"> (63,842) </t>
        </is>
      </c>
      <c r="D102" s="10" t="inlineStr">
        <is>
          <t>A780047</t>
        </is>
      </c>
    </row>
    <row r="103">
      <c r="A103" s="10" t="inlineStr">
        <is>
          <t>22/03/2026</t>
        </is>
      </c>
      <c r="B103" s="10" t="inlineStr">
        <is>
          <t>IMPORT FREIGHT AGENT</t>
        </is>
      </c>
      <c r="C103" s="10" t="inlineStr">
        <is>
          <t>(201,544)</t>
        </is>
      </c>
      <c r="D103" s="10" t="inlineStr">
        <is>
          <t>A780058</t>
        </is>
      </c>
    </row>
    <row r="104">
      <c r="A104" s="10" t="inlineStr">
        <is>
          <t>27.2.26</t>
        </is>
      </c>
      <c r="B104" s="10" t="inlineStr">
        <is>
          <t>VAT BIMONTHLY PAYMENT</t>
        </is>
      </c>
      <c r="C104" s="10" t="inlineStr">
        <is>
          <t>(64,884)</t>
        </is>
      </c>
      <c r="D104" s="10" t="inlineStr">
        <is>
          <t>A780031</t>
        </is>
      </c>
    </row>
    <row r="105">
      <c r="A105" s="10" t="inlineStr">
        <is>
          <t>17.6.26</t>
        </is>
      </c>
      <c r="B105" s="10" t="inlineStr">
        <is>
          <t>LEASE  COMPANY CAR</t>
        </is>
      </c>
      <c r="C105" s="10" t="inlineStr">
        <is>
          <t>(67,399)</t>
        </is>
      </c>
      <c r="D105" s="10" t="inlineStr">
        <is>
          <t>A780095</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472"/>
  <sheetViews>
    <sheetView rightToLeft="1"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1" customWidth="1" min="4" max="4"/>
    <col width="15" customWidth="1" min="5" max="5"/>
    <col width="10" customWidth="1" min="6" max="6"/>
    <col width="14" customWidth="1" min="7" max="7"/>
    <col width="15" customWidth="1" min="8" max="8"/>
    <col width="18" customWidth="1" min="9" max="9"/>
    <col width="13" customWidth="1" min="10" max="10"/>
  </cols>
  <sheetData>
    <row r="1" ht="32" customHeight="1">
      <c r="A1" s="1" t="inlineStr">
        <is>
          <t>General Ledger · ביצוע בפועל 2026</t>
        </is>
      </c>
    </row>
    <row r="2" ht="18" customHeight="1">
      <c r="A2" s="2" t="inlineStr">
        <is>
          <t>נתון קיים. כותרות העמודות באנגלית כדי שהנוסחאות יהיו נקיות. עמודות ה-Name נועדו לקריאה בלבד.</t>
        </is>
      </c>
    </row>
    <row r="4" ht="28" customHeight="1">
      <c r="A4" s="9" t="inlineStr">
        <is>
          <t>Date</t>
        </is>
      </c>
      <c r="B4" s="9" t="inlineStr">
        <is>
          <t>TxnID</t>
        </is>
      </c>
      <c r="C4" s="9" t="inlineStr">
        <is>
          <t>Month</t>
        </is>
      </c>
      <c r="D4" s="9" t="inlineStr">
        <is>
          <t>Dept</t>
        </is>
      </c>
      <c r="E4" s="9" t="inlineStr">
        <is>
          <t>DeptName</t>
        </is>
      </c>
      <c r="F4" s="9" t="inlineStr">
        <is>
          <t>Grp</t>
        </is>
      </c>
      <c r="G4" s="9" t="inlineStr">
        <is>
          <t>GrpName</t>
        </is>
      </c>
      <c r="H4" s="9" t="inlineStr">
        <is>
          <t>Acct</t>
        </is>
      </c>
      <c r="I4" s="9" t="inlineStr">
        <is>
          <t>AcctName</t>
        </is>
      </c>
      <c r="J4" s="9" t="inlineStr">
        <is>
          <t>Amount</t>
        </is>
      </c>
    </row>
    <row r="5">
      <c r="A5" s="40" t="n">
        <v>46045</v>
      </c>
      <c r="B5" s="12" t="inlineStr">
        <is>
          <t>J41001</t>
        </is>
      </c>
      <c r="C5" s="12" t="n">
        <v>1</v>
      </c>
      <c r="D5" s="12" t="inlineStr">
        <is>
          <t>SALES</t>
        </is>
      </c>
      <c r="E5" s="12" t="inlineStr">
        <is>
          <t>Direct Sales</t>
        </is>
      </c>
      <c r="F5" s="12" t="inlineStr">
        <is>
          <t>REVENUE</t>
        </is>
      </c>
      <c r="G5" s="12" t="inlineStr">
        <is>
          <t>Revenue</t>
        </is>
      </c>
      <c r="H5" s="12" t="inlineStr">
        <is>
          <t>REVENUE_PROD</t>
        </is>
      </c>
      <c r="I5" s="12" t="inlineStr">
        <is>
          <t>Product Revenue</t>
        </is>
      </c>
      <c r="J5" s="13" t="n">
        <v>506397</v>
      </c>
    </row>
    <row r="6">
      <c r="A6" s="40" t="n">
        <v>46046</v>
      </c>
      <c r="B6" s="12" t="inlineStr">
        <is>
          <t>J41002</t>
        </is>
      </c>
      <c r="C6" s="12" t="n">
        <v>1</v>
      </c>
      <c r="D6" s="12" t="inlineStr">
        <is>
          <t>CHANNEL</t>
        </is>
      </c>
      <c r="E6" s="12" t="inlineStr">
        <is>
          <t>Distributor Channel</t>
        </is>
      </c>
      <c r="F6" s="12" t="inlineStr">
        <is>
          <t>REVENUE</t>
        </is>
      </c>
      <c r="G6" s="12" t="inlineStr">
        <is>
          <t>Revenue</t>
        </is>
      </c>
      <c r="H6" s="12" t="inlineStr">
        <is>
          <t>REVENUE_PROD</t>
        </is>
      </c>
      <c r="I6" s="12" t="inlineStr">
        <is>
          <t>Product Revenue</t>
        </is>
      </c>
      <c r="J6" s="13" t="n">
        <v>257099</v>
      </c>
    </row>
    <row r="7">
      <c r="A7" s="40" t="n">
        <v>46033</v>
      </c>
      <c r="B7" s="12" t="inlineStr">
        <is>
          <t>J41003</t>
        </is>
      </c>
      <c r="C7" s="12" t="n">
        <v>1</v>
      </c>
      <c r="D7" s="12" t="inlineStr">
        <is>
          <t>SERVICE</t>
        </is>
      </c>
      <c r="E7" s="12" t="inlineStr">
        <is>
          <t>Service and Support</t>
        </is>
      </c>
      <c r="F7" s="12" t="inlineStr">
        <is>
          <t>REVENUE</t>
        </is>
      </c>
      <c r="G7" s="12" t="inlineStr">
        <is>
          <t>Revenue</t>
        </is>
      </c>
      <c r="H7" s="12" t="inlineStr">
        <is>
          <t>REVENUE_PROD</t>
        </is>
      </c>
      <c r="I7" s="12" t="inlineStr">
        <is>
          <t>Product Revenue</t>
        </is>
      </c>
      <c r="J7" s="13" t="n">
        <v>137672</v>
      </c>
    </row>
    <row r="8">
      <c r="A8" s="40" t="n">
        <v>46029</v>
      </c>
      <c r="B8" s="12" t="inlineStr">
        <is>
          <t>J41004</t>
        </is>
      </c>
      <c r="C8" s="12" t="n">
        <v>1</v>
      </c>
      <c r="D8" s="12" t="inlineStr">
        <is>
          <t>SALES</t>
        </is>
      </c>
      <c r="E8" s="12" t="inlineStr">
        <is>
          <t>Direct Sales</t>
        </is>
      </c>
      <c r="F8" s="12" t="inlineStr">
        <is>
          <t>REVENUE</t>
        </is>
      </c>
      <c r="G8" s="12" t="inlineStr">
        <is>
          <t>Revenue</t>
        </is>
      </c>
      <c r="H8" s="12" t="inlineStr">
        <is>
          <t>REVENUE_SVC</t>
        </is>
      </c>
      <c r="I8" s="12" t="inlineStr">
        <is>
          <t>Service Revenue</t>
        </is>
      </c>
      <c r="J8" s="13" t="n">
        <v>4448</v>
      </c>
    </row>
    <row r="9">
      <c r="A9" s="40" t="n">
        <v>46032</v>
      </c>
      <c r="B9" s="12" t="inlineStr">
        <is>
          <t>J41005</t>
        </is>
      </c>
      <c r="C9" s="12" t="n">
        <v>1</v>
      </c>
      <c r="D9" s="12" t="inlineStr">
        <is>
          <t>CHANNEL</t>
        </is>
      </c>
      <c r="E9" s="12" t="inlineStr">
        <is>
          <t>Distributor Channel</t>
        </is>
      </c>
      <c r="F9" s="12" t="inlineStr">
        <is>
          <t>REVENUE</t>
        </is>
      </c>
      <c r="G9" s="12" t="inlineStr">
        <is>
          <t>Revenue</t>
        </is>
      </c>
      <c r="H9" s="12" t="inlineStr">
        <is>
          <t>REVENUE_SVC</t>
        </is>
      </c>
      <c r="I9" s="12" t="inlineStr">
        <is>
          <t>Service Revenue</t>
        </is>
      </c>
      <c r="J9" s="13" t="n">
        <v>3880</v>
      </c>
    </row>
    <row r="10">
      <c r="A10" s="40" t="n">
        <v>46028</v>
      </c>
      <c r="B10" s="12" t="inlineStr">
        <is>
          <t>J41006</t>
        </is>
      </c>
      <c r="C10" s="12" t="n">
        <v>1</v>
      </c>
      <c r="D10" s="12" t="inlineStr">
        <is>
          <t>SERVICE</t>
        </is>
      </c>
      <c r="E10" s="12" t="inlineStr">
        <is>
          <t>Service and Support</t>
        </is>
      </c>
      <c r="F10" s="12" t="inlineStr">
        <is>
          <t>REVENUE</t>
        </is>
      </c>
      <c r="G10" s="12" t="inlineStr">
        <is>
          <t>Revenue</t>
        </is>
      </c>
      <c r="H10" s="12" t="inlineStr">
        <is>
          <t>REVENUE_SVC</t>
        </is>
      </c>
      <c r="I10" s="12" t="inlineStr">
        <is>
          <t>Service Revenue</t>
        </is>
      </c>
      <c r="J10" s="13" t="n">
        <v>78709</v>
      </c>
    </row>
    <row r="11">
      <c r="A11" s="40" t="n">
        <v>46038</v>
      </c>
      <c r="B11" s="12" t="inlineStr">
        <is>
          <t>J41007</t>
        </is>
      </c>
      <c r="C11" s="12" t="n">
        <v>1</v>
      </c>
      <c r="D11" s="12" t="inlineStr">
        <is>
          <t>SALES</t>
        </is>
      </c>
      <c r="E11" s="12" t="inlineStr">
        <is>
          <t>Direct Sales</t>
        </is>
      </c>
      <c r="F11" s="12" t="inlineStr">
        <is>
          <t>COGS</t>
        </is>
      </c>
      <c r="G11" s="12" t="inlineStr">
        <is>
          <t>Cost of Sales</t>
        </is>
      </c>
      <c r="H11" s="12" t="inlineStr">
        <is>
          <t>COGS</t>
        </is>
      </c>
      <c r="I11" s="12" t="inlineStr">
        <is>
          <t>Cost of Goods Sold</t>
        </is>
      </c>
      <c r="J11" s="13" t="n">
        <v>360359</v>
      </c>
    </row>
    <row r="12">
      <c r="A12" s="40" t="n">
        <v>46034</v>
      </c>
      <c r="B12" s="12" t="inlineStr">
        <is>
          <t>J41008</t>
        </is>
      </c>
      <c r="C12" s="12" t="n">
        <v>1</v>
      </c>
      <c r="D12" s="12" t="inlineStr">
        <is>
          <t>CHANNEL</t>
        </is>
      </c>
      <c r="E12" s="12" t="inlineStr">
        <is>
          <t>Distributor Channel</t>
        </is>
      </c>
      <c r="F12" s="12" t="inlineStr">
        <is>
          <t>COGS</t>
        </is>
      </c>
      <c r="G12" s="12" t="inlineStr">
        <is>
          <t>Cost of Sales</t>
        </is>
      </c>
      <c r="H12" s="12" t="inlineStr">
        <is>
          <t>COGS</t>
        </is>
      </c>
      <c r="I12" s="12" t="inlineStr">
        <is>
          <t>Cost of Goods Sold</t>
        </is>
      </c>
      <c r="J12" s="13" t="n">
        <v>177899</v>
      </c>
    </row>
    <row r="13">
      <c r="A13" s="40" t="n">
        <v>46035</v>
      </c>
      <c r="B13" s="12" t="inlineStr">
        <is>
          <t>J41009</t>
        </is>
      </c>
      <c r="C13" s="12" t="n">
        <v>1</v>
      </c>
      <c r="D13" s="12" t="inlineStr">
        <is>
          <t>SERVICE</t>
        </is>
      </c>
      <c r="E13" s="12" t="inlineStr">
        <is>
          <t>Service and Support</t>
        </is>
      </c>
      <c r="F13" s="12" t="inlineStr">
        <is>
          <t>COGS</t>
        </is>
      </c>
      <c r="G13" s="12" t="inlineStr">
        <is>
          <t>Cost of Sales</t>
        </is>
      </c>
      <c r="H13" s="12" t="inlineStr">
        <is>
          <t>COGS</t>
        </is>
      </c>
      <c r="I13" s="12" t="inlineStr">
        <is>
          <t>Cost of Goods Sold</t>
        </is>
      </c>
      <c r="J13" s="13" t="n">
        <v>96319</v>
      </c>
    </row>
    <row r="14">
      <c r="A14" s="40" t="n">
        <v>46032</v>
      </c>
      <c r="B14" s="12" t="inlineStr">
        <is>
          <t>J41010</t>
        </is>
      </c>
      <c r="C14" s="12" t="n">
        <v>1</v>
      </c>
      <c r="D14" s="12" t="inlineStr">
        <is>
          <t>SALES</t>
        </is>
      </c>
      <c r="E14" s="12" t="inlineStr">
        <is>
          <t>Direct Sales</t>
        </is>
      </c>
      <c r="F14" s="12" t="inlineStr">
        <is>
          <t>OPEX</t>
        </is>
      </c>
      <c r="G14" s="12" t="inlineStr">
        <is>
          <t>Operating Expenses</t>
        </is>
      </c>
      <c r="H14" s="12" t="inlineStr">
        <is>
          <t>SALARY</t>
        </is>
      </c>
      <c r="I14" s="12" t="inlineStr">
        <is>
          <t>Payroll</t>
        </is>
      </c>
      <c r="J14" s="13" t="n">
        <v>76455</v>
      </c>
    </row>
    <row r="15">
      <c r="A15" s="40" t="n">
        <v>46048</v>
      </c>
      <c r="B15" s="12" t="inlineStr">
        <is>
          <t>J41011</t>
        </is>
      </c>
      <c r="C15" s="12" t="n">
        <v>1</v>
      </c>
      <c r="D15" s="12" t="inlineStr">
        <is>
          <t>CHANNEL</t>
        </is>
      </c>
      <c r="E15" s="12" t="inlineStr">
        <is>
          <t>Distributor Channel</t>
        </is>
      </c>
      <c r="F15" s="12" t="inlineStr">
        <is>
          <t>OPEX</t>
        </is>
      </c>
      <c r="G15" s="12" t="inlineStr">
        <is>
          <t>Operating Expenses</t>
        </is>
      </c>
      <c r="H15" s="12" t="inlineStr">
        <is>
          <t>SALARY</t>
        </is>
      </c>
      <c r="I15" s="12" t="inlineStr">
        <is>
          <t>Payroll</t>
        </is>
      </c>
      <c r="J15" s="13" t="n">
        <v>45861</v>
      </c>
    </row>
    <row r="16">
      <c r="A16" s="40" t="n">
        <v>46037</v>
      </c>
      <c r="B16" s="12" t="inlineStr">
        <is>
          <t>J41012</t>
        </is>
      </c>
      <c r="C16" s="12" t="n">
        <v>1</v>
      </c>
      <c r="D16" s="12" t="inlineStr">
        <is>
          <t>SERVICE</t>
        </is>
      </c>
      <c r="E16" s="12" t="inlineStr">
        <is>
          <t>Service and Support</t>
        </is>
      </c>
      <c r="F16" s="12" t="inlineStr">
        <is>
          <t>OPEX</t>
        </is>
      </c>
      <c r="G16" s="12" t="inlineStr">
        <is>
          <t>Operating Expenses</t>
        </is>
      </c>
      <c r="H16" s="12" t="inlineStr">
        <is>
          <t>SALARY</t>
        </is>
      </c>
      <c r="I16" s="12" t="inlineStr">
        <is>
          <t>Payroll</t>
        </is>
      </c>
      <c r="J16" s="13" t="n">
        <v>23197</v>
      </c>
    </row>
    <row r="17">
      <c r="A17" s="40" t="n">
        <v>46040</v>
      </c>
      <c r="B17" s="12" t="inlineStr">
        <is>
          <t>J41013</t>
        </is>
      </c>
      <c r="C17" s="12" t="n">
        <v>1</v>
      </c>
      <c r="D17" s="12" t="inlineStr">
        <is>
          <t>SALES</t>
        </is>
      </c>
      <c r="E17" s="12" t="inlineStr">
        <is>
          <t>Direct Sales</t>
        </is>
      </c>
      <c r="F17" s="12" t="inlineStr">
        <is>
          <t>OPEX</t>
        </is>
      </c>
      <c r="G17" s="12" t="inlineStr">
        <is>
          <t>Operating Expenses</t>
        </is>
      </c>
      <c r="H17" s="12" t="inlineStr">
        <is>
          <t>RENT</t>
        </is>
      </c>
      <c r="I17" s="12" t="inlineStr">
        <is>
          <t>Rent and Facilities</t>
        </is>
      </c>
      <c r="J17" s="13" t="n">
        <v>9931</v>
      </c>
    </row>
    <row r="18">
      <c r="A18" s="40" t="n">
        <v>46049</v>
      </c>
      <c r="B18" s="12" t="inlineStr">
        <is>
          <t>J41014</t>
        </is>
      </c>
      <c r="C18" s="12" t="n">
        <v>1</v>
      </c>
      <c r="D18" s="12" t="inlineStr">
        <is>
          <t>CHANNEL</t>
        </is>
      </c>
      <c r="E18" s="12" t="inlineStr">
        <is>
          <t>Distributor Channel</t>
        </is>
      </c>
      <c r="F18" s="12" t="inlineStr">
        <is>
          <t>OPEX</t>
        </is>
      </c>
      <c r="G18" s="12" t="inlineStr">
        <is>
          <t>Operating Expenses</t>
        </is>
      </c>
      <c r="H18" s="12" t="inlineStr">
        <is>
          <t>RENT</t>
        </is>
      </c>
      <c r="I18" s="12" t="inlineStr">
        <is>
          <t>Rent and Facilities</t>
        </is>
      </c>
      <c r="J18" s="13" t="n">
        <v>9368</v>
      </c>
    </row>
    <row r="19">
      <c r="A19" s="40" t="n">
        <v>46048</v>
      </c>
      <c r="B19" s="12" t="inlineStr">
        <is>
          <t>J41015</t>
        </is>
      </c>
      <c r="C19" s="12" t="n">
        <v>1</v>
      </c>
      <c r="D19" s="12" t="inlineStr">
        <is>
          <t>SERVICE</t>
        </is>
      </c>
      <c r="E19" s="12" t="inlineStr">
        <is>
          <t>Service and Support</t>
        </is>
      </c>
      <c r="F19" s="12" t="inlineStr">
        <is>
          <t>OPEX</t>
        </is>
      </c>
      <c r="G19" s="12" t="inlineStr">
        <is>
          <t>Operating Expenses</t>
        </is>
      </c>
      <c r="H19" s="12" t="inlineStr">
        <is>
          <t>RENT</t>
        </is>
      </c>
      <c r="I19" s="12" t="inlineStr">
        <is>
          <t>Rent and Facilities</t>
        </is>
      </c>
      <c r="J19" s="13" t="n">
        <v>9875</v>
      </c>
    </row>
    <row r="20">
      <c r="A20" s="40" t="n">
        <v>46035</v>
      </c>
      <c r="B20" s="12" t="inlineStr">
        <is>
          <t>J41016</t>
        </is>
      </c>
      <c r="C20" s="12" t="n">
        <v>1</v>
      </c>
      <c r="D20" s="12" t="inlineStr">
        <is>
          <t>SALES</t>
        </is>
      </c>
      <c r="E20" s="12" t="inlineStr">
        <is>
          <t>Direct Sales</t>
        </is>
      </c>
      <c r="F20" s="12" t="inlineStr">
        <is>
          <t>OPEX</t>
        </is>
      </c>
      <c r="G20" s="12" t="inlineStr">
        <is>
          <t>Operating Expenses</t>
        </is>
      </c>
      <c r="H20" s="12" t="inlineStr">
        <is>
          <t>VEHICLE</t>
        </is>
      </c>
      <c r="I20" s="12" t="inlineStr">
        <is>
          <t>Vehicle</t>
        </is>
      </c>
      <c r="J20" s="13" t="n">
        <v>10973</v>
      </c>
    </row>
    <row r="21">
      <c r="A21" s="40" t="n">
        <v>46031</v>
      </c>
      <c r="B21" s="12" t="inlineStr">
        <is>
          <t>J41017</t>
        </is>
      </c>
      <c r="C21" s="12" t="n">
        <v>1</v>
      </c>
      <c r="D21" s="12" t="inlineStr">
        <is>
          <t>CHANNEL</t>
        </is>
      </c>
      <c r="E21" s="12" t="inlineStr">
        <is>
          <t>Distributor Channel</t>
        </is>
      </c>
      <c r="F21" s="12" t="inlineStr">
        <is>
          <t>OPEX</t>
        </is>
      </c>
      <c r="G21" s="12" t="inlineStr">
        <is>
          <t>Operating Expenses</t>
        </is>
      </c>
      <c r="H21" s="12" t="inlineStr">
        <is>
          <t>VEHICLE</t>
        </is>
      </c>
      <c r="I21" s="12" t="inlineStr">
        <is>
          <t>Vehicle</t>
        </is>
      </c>
      <c r="J21" s="13" t="n">
        <v>5561</v>
      </c>
    </row>
    <row r="22">
      <c r="A22" s="40" t="n">
        <v>46042</v>
      </c>
      <c r="B22" s="12" t="inlineStr">
        <is>
          <t>J41018</t>
        </is>
      </c>
      <c r="C22" s="12" t="n">
        <v>1</v>
      </c>
      <c r="D22" s="12" t="inlineStr">
        <is>
          <t>SERVICE</t>
        </is>
      </c>
      <c r="E22" s="12" t="inlineStr">
        <is>
          <t>Service and Support</t>
        </is>
      </c>
      <c r="F22" s="12" t="inlineStr">
        <is>
          <t>OPEX</t>
        </is>
      </c>
      <c r="G22" s="12" t="inlineStr">
        <is>
          <t>Operating Expenses</t>
        </is>
      </c>
      <c r="H22" s="12" t="inlineStr">
        <is>
          <t>VEHICLE</t>
        </is>
      </c>
      <c r="I22" s="12" t="inlineStr">
        <is>
          <t>Vehicle</t>
        </is>
      </c>
      <c r="J22" s="13" t="n">
        <v>2802</v>
      </c>
    </row>
    <row r="23">
      <c r="A23" s="40" t="n">
        <v>46044</v>
      </c>
      <c r="B23" s="12" t="inlineStr">
        <is>
          <t>J41019</t>
        </is>
      </c>
      <c r="C23" s="12" t="n">
        <v>1</v>
      </c>
      <c r="D23" s="12" t="inlineStr">
        <is>
          <t>SALES</t>
        </is>
      </c>
      <c r="E23" s="12" t="inlineStr">
        <is>
          <t>Direct Sales</t>
        </is>
      </c>
      <c r="F23" s="12" t="inlineStr">
        <is>
          <t>OPEX</t>
        </is>
      </c>
      <c r="G23" s="12" t="inlineStr">
        <is>
          <t>Operating Expenses</t>
        </is>
      </c>
      <c r="H23" s="12" t="inlineStr">
        <is>
          <t>MARKETING</t>
        </is>
      </c>
      <c r="I23" s="12" t="inlineStr">
        <is>
          <t>Marketing</t>
        </is>
      </c>
      <c r="J23" s="13" t="n">
        <v>19204</v>
      </c>
    </row>
    <row r="24">
      <c r="A24" s="40" t="n">
        <v>46039</v>
      </c>
      <c r="B24" s="12" t="inlineStr">
        <is>
          <t>J41020</t>
        </is>
      </c>
      <c r="C24" s="12" t="n">
        <v>1</v>
      </c>
      <c r="D24" s="12" t="inlineStr">
        <is>
          <t>CHANNEL</t>
        </is>
      </c>
      <c r="E24" s="12" t="inlineStr">
        <is>
          <t>Distributor Channel</t>
        </is>
      </c>
      <c r="F24" s="12" t="inlineStr">
        <is>
          <t>OPEX</t>
        </is>
      </c>
      <c r="G24" s="12" t="inlineStr">
        <is>
          <t>Operating Expenses</t>
        </is>
      </c>
      <c r="H24" s="12" t="inlineStr">
        <is>
          <t>MARKETING</t>
        </is>
      </c>
      <c r="I24" s="12" t="inlineStr">
        <is>
          <t>Marketing</t>
        </is>
      </c>
      <c r="J24" s="13" t="n">
        <v>9645</v>
      </c>
    </row>
    <row r="25">
      <c r="A25" s="40" t="n">
        <v>46040</v>
      </c>
      <c r="B25" s="12" t="inlineStr">
        <is>
          <t>J41021</t>
        </is>
      </c>
      <c r="C25" s="12" t="n">
        <v>1</v>
      </c>
      <c r="D25" s="12" t="inlineStr">
        <is>
          <t>SERVICE</t>
        </is>
      </c>
      <c r="E25" s="12" t="inlineStr">
        <is>
          <t>Service and Support</t>
        </is>
      </c>
      <c r="F25" s="12" t="inlineStr">
        <is>
          <t>OPEX</t>
        </is>
      </c>
      <c r="G25" s="12" t="inlineStr">
        <is>
          <t>Operating Expenses</t>
        </is>
      </c>
      <c r="H25" s="12" t="inlineStr">
        <is>
          <t>MARKETING</t>
        </is>
      </c>
      <c r="I25" s="12" t="inlineStr">
        <is>
          <t>Marketing</t>
        </is>
      </c>
      <c r="J25" s="13" t="n">
        <v>5221</v>
      </c>
    </row>
    <row r="26">
      <c r="A26" s="40" t="n">
        <v>46027</v>
      </c>
      <c r="B26" s="12" t="inlineStr">
        <is>
          <t>J41022</t>
        </is>
      </c>
      <c r="C26" s="12" t="n">
        <v>1</v>
      </c>
      <c r="D26" s="12" t="inlineStr">
        <is>
          <t>SALES</t>
        </is>
      </c>
      <c r="E26" s="12" t="inlineStr">
        <is>
          <t>Direct Sales</t>
        </is>
      </c>
      <c r="F26" s="12" t="inlineStr">
        <is>
          <t>OPEX</t>
        </is>
      </c>
      <c r="G26" s="12" t="inlineStr">
        <is>
          <t>Operating Expenses</t>
        </is>
      </c>
      <c r="H26" s="12" t="inlineStr">
        <is>
          <t>ENTERTAIN</t>
        </is>
      </c>
      <c r="I26" s="12" t="inlineStr">
        <is>
          <t>Entertainment</t>
        </is>
      </c>
      <c r="J26" s="13" t="n">
        <v>2609</v>
      </c>
    </row>
    <row r="27">
      <c r="A27" s="40" t="n">
        <v>46025</v>
      </c>
      <c r="B27" s="12" t="inlineStr">
        <is>
          <t>J41023</t>
        </is>
      </c>
      <c r="C27" s="12" t="n">
        <v>1</v>
      </c>
      <c r="D27" s="12" t="inlineStr">
        <is>
          <t>CHANNEL</t>
        </is>
      </c>
      <c r="E27" s="12" t="inlineStr">
        <is>
          <t>Distributor Channel</t>
        </is>
      </c>
      <c r="F27" s="12" t="inlineStr">
        <is>
          <t>OPEX</t>
        </is>
      </c>
      <c r="G27" s="12" t="inlineStr">
        <is>
          <t>Operating Expenses</t>
        </is>
      </c>
      <c r="H27" s="12" t="inlineStr">
        <is>
          <t>ENTERTAIN</t>
        </is>
      </c>
      <c r="I27" s="12" t="inlineStr">
        <is>
          <t>Entertainment</t>
        </is>
      </c>
      <c r="J27" s="13" t="n">
        <v>1360</v>
      </c>
    </row>
    <row r="28">
      <c r="A28" s="40" t="n">
        <v>46025</v>
      </c>
      <c r="B28" s="12" t="inlineStr">
        <is>
          <t>J41024</t>
        </is>
      </c>
      <c r="C28" s="12" t="n">
        <v>1</v>
      </c>
      <c r="D28" s="12" t="inlineStr">
        <is>
          <t>SERVICE</t>
        </is>
      </c>
      <c r="E28" s="12" t="inlineStr">
        <is>
          <t>Service and Support</t>
        </is>
      </c>
      <c r="F28" s="12" t="inlineStr">
        <is>
          <t>OPEX</t>
        </is>
      </c>
      <c r="G28" s="12" t="inlineStr">
        <is>
          <t>Operating Expenses</t>
        </is>
      </c>
      <c r="H28" s="12" t="inlineStr">
        <is>
          <t>ENTERTAIN</t>
        </is>
      </c>
      <c r="I28" s="12" t="inlineStr">
        <is>
          <t>Entertainment</t>
        </is>
      </c>
      <c r="J28" s="13" t="n">
        <v>602</v>
      </c>
    </row>
    <row r="29">
      <c r="A29" s="40" t="n">
        <v>46029</v>
      </c>
      <c r="B29" s="12" t="inlineStr">
        <is>
          <t>J41025</t>
        </is>
      </c>
      <c r="C29" s="12" t="n">
        <v>1</v>
      </c>
      <c r="D29" s="12" t="inlineStr">
        <is>
          <t>SALES</t>
        </is>
      </c>
      <c r="E29" s="12" t="inlineStr">
        <is>
          <t>Direct Sales</t>
        </is>
      </c>
      <c r="F29" s="12" t="inlineStr">
        <is>
          <t>OPEX</t>
        </is>
      </c>
      <c r="G29" s="12" t="inlineStr">
        <is>
          <t>Operating Expenses</t>
        </is>
      </c>
      <c r="H29" s="12" t="inlineStr">
        <is>
          <t>OFFICE</t>
        </is>
      </c>
      <c r="I29" s="12" t="inlineStr">
        <is>
          <t>Office</t>
        </is>
      </c>
      <c r="J29" s="13" t="n">
        <v>5363</v>
      </c>
    </row>
    <row r="30">
      <c r="A30" s="40" t="n">
        <v>46032</v>
      </c>
      <c r="B30" s="12" t="inlineStr">
        <is>
          <t>J41026</t>
        </is>
      </c>
      <c r="C30" s="12" t="n">
        <v>1</v>
      </c>
      <c r="D30" s="12" t="inlineStr">
        <is>
          <t>CHANNEL</t>
        </is>
      </c>
      <c r="E30" s="12" t="inlineStr">
        <is>
          <t>Distributor Channel</t>
        </is>
      </c>
      <c r="F30" s="12" t="inlineStr">
        <is>
          <t>OPEX</t>
        </is>
      </c>
      <c r="G30" s="12" t="inlineStr">
        <is>
          <t>Operating Expenses</t>
        </is>
      </c>
      <c r="H30" s="12" t="inlineStr">
        <is>
          <t>OFFICE</t>
        </is>
      </c>
      <c r="I30" s="12" t="inlineStr">
        <is>
          <t>Office</t>
        </is>
      </c>
      <c r="J30" s="13" t="n">
        <v>2983</v>
      </c>
    </row>
    <row r="31">
      <c r="A31" s="40" t="n">
        <v>46033</v>
      </c>
      <c r="B31" s="12" t="inlineStr">
        <is>
          <t>J41027</t>
        </is>
      </c>
      <c r="C31" s="12" t="n">
        <v>1</v>
      </c>
      <c r="D31" s="12" t="inlineStr">
        <is>
          <t>SERVICE</t>
        </is>
      </c>
      <c r="E31" s="12" t="inlineStr">
        <is>
          <t>Service and Support</t>
        </is>
      </c>
      <c r="F31" s="12" t="inlineStr">
        <is>
          <t>OPEX</t>
        </is>
      </c>
      <c r="G31" s="12" t="inlineStr">
        <is>
          <t>Operating Expenses</t>
        </is>
      </c>
      <c r="H31" s="12" t="inlineStr">
        <is>
          <t>OFFICE</t>
        </is>
      </c>
      <c r="I31" s="12" t="inlineStr">
        <is>
          <t>Office</t>
        </is>
      </c>
      <c r="J31" s="13" t="n">
        <v>1439</v>
      </c>
    </row>
    <row r="32">
      <c r="A32" s="40" t="n">
        <v>46041</v>
      </c>
      <c r="B32" s="12" t="inlineStr">
        <is>
          <t>J41028</t>
        </is>
      </c>
      <c r="C32" s="12" t="n">
        <v>1</v>
      </c>
      <c r="D32" s="12" t="inlineStr">
        <is>
          <t>SALES</t>
        </is>
      </c>
      <c r="E32" s="12" t="inlineStr">
        <is>
          <t>Direct Sales</t>
        </is>
      </c>
      <c r="F32" s="12" t="inlineStr">
        <is>
          <t>OPEX</t>
        </is>
      </c>
      <c r="G32" s="12" t="inlineStr">
        <is>
          <t>Operating Expenses</t>
        </is>
      </c>
      <c r="H32" s="12" t="inlineStr">
        <is>
          <t>MERCHANT</t>
        </is>
      </c>
      <c r="I32" s="12" t="inlineStr">
        <is>
          <t>Merchant Fees</t>
        </is>
      </c>
      <c r="J32" s="13" t="n">
        <v>6200</v>
      </c>
    </row>
    <row r="33">
      <c r="A33" s="40" t="n">
        <v>46024</v>
      </c>
      <c r="B33" s="12" t="inlineStr">
        <is>
          <t>J41029</t>
        </is>
      </c>
      <c r="C33" s="12" t="n">
        <v>1</v>
      </c>
      <c r="D33" s="12" t="inlineStr">
        <is>
          <t>CHANNEL</t>
        </is>
      </c>
      <c r="E33" s="12" t="inlineStr">
        <is>
          <t>Distributor Channel</t>
        </is>
      </c>
      <c r="F33" s="12" t="inlineStr">
        <is>
          <t>OPEX</t>
        </is>
      </c>
      <c r="G33" s="12" t="inlineStr">
        <is>
          <t>Operating Expenses</t>
        </is>
      </c>
      <c r="H33" s="12" t="inlineStr">
        <is>
          <t>MERCHANT</t>
        </is>
      </c>
      <c r="I33" s="12" t="inlineStr">
        <is>
          <t>Merchant Fees</t>
        </is>
      </c>
      <c r="J33" s="13" t="n">
        <v>3315</v>
      </c>
    </row>
    <row r="34">
      <c r="A34" s="40" t="n">
        <v>46036</v>
      </c>
      <c r="B34" s="12" t="inlineStr">
        <is>
          <t>J41030</t>
        </is>
      </c>
      <c r="C34" s="12" t="n">
        <v>1</v>
      </c>
      <c r="D34" s="12" t="inlineStr">
        <is>
          <t>SERVICE</t>
        </is>
      </c>
      <c r="E34" s="12" t="inlineStr">
        <is>
          <t>Service and Support</t>
        </is>
      </c>
      <c r="F34" s="12" t="inlineStr">
        <is>
          <t>OPEX</t>
        </is>
      </c>
      <c r="G34" s="12" t="inlineStr">
        <is>
          <t>Operating Expenses</t>
        </is>
      </c>
      <c r="H34" s="12" t="inlineStr">
        <is>
          <t>MERCHANT</t>
        </is>
      </c>
      <c r="I34" s="12" t="inlineStr">
        <is>
          <t>Merchant Fees</t>
        </is>
      </c>
      <c r="J34" s="13" t="n">
        <v>1739</v>
      </c>
    </row>
    <row r="35">
      <c r="A35" s="40" t="n">
        <v>46036</v>
      </c>
      <c r="B35" s="12" t="inlineStr">
        <is>
          <t>J41031</t>
        </is>
      </c>
      <c r="C35" s="12" t="n">
        <v>1</v>
      </c>
      <c r="D35" s="12" t="inlineStr">
        <is>
          <t>SALES</t>
        </is>
      </c>
      <c r="E35" s="12" t="inlineStr">
        <is>
          <t>Direct Sales</t>
        </is>
      </c>
      <c r="F35" s="12" t="inlineStr">
        <is>
          <t>OPEX</t>
        </is>
      </c>
      <c r="G35" s="12" t="inlineStr">
        <is>
          <t>Operating Expenses</t>
        </is>
      </c>
      <c r="H35" s="12" t="inlineStr">
        <is>
          <t>PROFSVC</t>
        </is>
      </c>
      <c r="I35" s="12" t="inlineStr">
        <is>
          <t>Professional Fees</t>
        </is>
      </c>
      <c r="J35" s="13" t="n">
        <v>6330</v>
      </c>
    </row>
    <row r="36">
      <c r="A36" s="40" t="n">
        <v>46045</v>
      </c>
      <c r="B36" s="12" t="inlineStr">
        <is>
          <t>J41032</t>
        </is>
      </c>
      <c r="C36" s="12" t="n">
        <v>1</v>
      </c>
      <c r="D36" s="12" t="inlineStr">
        <is>
          <t>CHANNEL</t>
        </is>
      </c>
      <c r="E36" s="12" t="inlineStr">
        <is>
          <t>Distributor Channel</t>
        </is>
      </c>
      <c r="F36" s="12" t="inlineStr">
        <is>
          <t>OPEX</t>
        </is>
      </c>
      <c r="G36" s="12" t="inlineStr">
        <is>
          <t>Operating Expenses</t>
        </is>
      </c>
      <c r="H36" s="12" t="inlineStr">
        <is>
          <t>PROFSVC</t>
        </is>
      </c>
      <c r="I36" s="12" t="inlineStr">
        <is>
          <t>Professional Fees</t>
        </is>
      </c>
      <c r="J36" s="13" t="n">
        <v>3903</v>
      </c>
    </row>
    <row r="37">
      <c r="A37" s="40" t="n">
        <v>46032</v>
      </c>
      <c r="B37" s="12" t="inlineStr">
        <is>
          <t>J41033</t>
        </is>
      </c>
      <c r="C37" s="12" t="n">
        <v>1</v>
      </c>
      <c r="D37" s="12" t="inlineStr">
        <is>
          <t>SERVICE</t>
        </is>
      </c>
      <c r="E37" s="12" t="inlineStr">
        <is>
          <t>Service and Support</t>
        </is>
      </c>
      <c r="F37" s="12" t="inlineStr">
        <is>
          <t>OPEX</t>
        </is>
      </c>
      <c r="G37" s="12" t="inlineStr">
        <is>
          <t>Operating Expenses</t>
        </is>
      </c>
      <c r="H37" s="12" t="inlineStr">
        <is>
          <t>PROFSVC</t>
        </is>
      </c>
      <c r="I37" s="12" t="inlineStr">
        <is>
          <t>Professional Fees</t>
        </is>
      </c>
      <c r="J37" s="13" t="n">
        <v>1906</v>
      </c>
    </row>
    <row r="38">
      <c r="A38" s="40" t="n">
        <v>46040</v>
      </c>
      <c r="B38" s="12" t="inlineStr">
        <is>
          <t>J41034</t>
        </is>
      </c>
      <c r="C38" s="12" t="n">
        <v>1</v>
      </c>
      <c r="D38" s="12" t="inlineStr">
        <is>
          <t>SALES</t>
        </is>
      </c>
      <c r="E38" s="12" t="inlineStr">
        <is>
          <t>Direct Sales</t>
        </is>
      </c>
      <c r="F38" s="12" t="inlineStr">
        <is>
          <t>OPEX</t>
        </is>
      </c>
      <c r="G38" s="12" t="inlineStr">
        <is>
          <t>Operating Expenses</t>
        </is>
      </c>
      <c r="H38" s="12" t="inlineStr">
        <is>
          <t>DEPREC</t>
        </is>
      </c>
      <c r="I38" s="12" t="inlineStr">
        <is>
          <t>Depreciation</t>
        </is>
      </c>
      <c r="J38" s="13" t="n">
        <v>4487</v>
      </c>
    </row>
    <row r="39">
      <c r="A39" s="40" t="n">
        <v>46035</v>
      </c>
      <c r="B39" s="12" t="inlineStr">
        <is>
          <t>J41035</t>
        </is>
      </c>
      <c r="C39" s="12" t="n">
        <v>1</v>
      </c>
      <c r="D39" s="12" t="inlineStr">
        <is>
          <t>CHANNEL</t>
        </is>
      </c>
      <c r="E39" s="12" t="inlineStr">
        <is>
          <t>Distributor Channel</t>
        </is>
      </c>
      <c r="F39" s="12" t="inlineStr">
        <is>
          <t>OPEX</t>
        </is>
      </c>
      <c r="G39" s="12" t="inlineStr">
        <is>
          <t>Operating Expenses</t>
        </is>
      </c>
      <c r="H39" s="12" t="inlineStr">
        <is>
          <t>DEPREC</t>
        </is>
      </c>
      <c r="I39" s="12" t="inlineStr">
        <is>
          <t>Depreciation</t>
        </is>
      </c>
      <c r="J39" s="13" t="n">
        <v>3865</v>
      </c>
    </row>
    <row r="40">
      <c r="A40" s="40" t="n">
        <v>46048</v>
      </c>
      <c r="B40" s="12" t="inlineStr">
        <is>
          <t>J41036</t>
        </is>
      </c>
      <c r="C40" s="12" t="n">
        <v>1</v>
      </c>
      <c r="D40" s="12" t="inlineStr">
        <is>
          <t>SERVICE</t>
        </is>
      </c>
      <c r="E40" s="12" t="inlineStr">
        <is>
          <t>Service and Support</t>
        </is>
      </c>
      <c r="F40" s="12" t="inlineStr">
        <is>
          <t>OPEX</t>
        </is>
      </c>
      <c r="G40" s="12" t="inlineStr">
        <is>
          <t>Operating Expenses</t>
        </is>
      </c>
      <c r="H40" s="12" t="inlineStr">
        <is>
          <t>DEPREC</t>
        </is>
      </c>
      <c r="I40" s="12" t="inlineStr">
        <is>
          <t>Depreciation</t>
        </is>
      </c>
      <c r="J40" s="13" t="n">
        <v>4576</v>
      </c>
    </row>
    <row r="41">
      <c r="A41" s="40" t="n">
        <v>46033</v>
      </c>
      <c r="B41" s="12" t="inlineStr">
        <is>
          <t>J41037</t>
        </is>
      </c>
      <c r="C41" s="12" t="n">
        <v>1</v>
      </c>
      <c r="D41" s="12" t="inlineStr">
        <is>
          <t>SALES</t>
        </is>
      </c>
      <c r="E41" s="12" t="inlineStr">
        <is>
          <t>Direct Sales</t>
        </is>
      </c>
      <c r="F41" s="12" t="inlineStr">
        <is>
          <t>OPEX</t>
        </is>
      </c>
      <c r="G41" s="12" t="inlineStr">
        <is>
          <t>Operating Expenses</t>
        </is>
      </c>
      <c r="H41" s="12" t="inlineStr">
        <is>
          <t>FINANCE</t>
        </is>
      </c>
      <c r="I41" s="12" t="inlineStr">
        <is>
          <t>Finance Costs</t>
        </is>
      </c>
      <c r="J41" s="13" t="n">
        <v>2513</v>
      </c>
    </row>
    <row r="42">
      <c r="A42" s="40" t="n">
        <v>46044</v>
      </c>
      <c r="B42" s="12" t="inlineStr">
        <is>
          <t>J41038</t>
        </is>
      </c>
      <c r="C42" s="12" t="n">
        <v>1</v>
      </c>
      <c r="D42" s="12" t="inlineStr">
        <is>
          <t>CHANNEL</t>
        </is>
      </c>
      <c r="E42" s="12" t="inlineStr">
        <is>
          <t>Distributor Channel</t>
        </is>
      </c>
      <c r="F42" s="12" t="inlineStr">
        <is>
          <t>OPEX</t>
        </is>
      </c>
      <c r="G42" s="12" t="inlineStr">
        <is>
          <t>Operating Expenses</t>
        </is>
      </c>
      <c r="H42" s="12" t="inlineStr">
        <is>
          <t>FINANCE</t>
        </is>
      </c>
      <c r="I42" s="12" t="inlineStr">
        <is>
          <t>Finance Costs</t>
        </is>
      </c>
      <c r="J42" s="13" t="n">
        <v>2086</v>
      </c>
    </row>
    <row r="43">
      <c r="A43" s="40" t="n">
        <v>46041</v>
      </c>
      <c r="B43" s="12" t="inlineStr">
        <is>
          <t>J41039</t>
        </is>
      </c>
      <c r="C43" s="12" t="n">
        <v>1</v>
      </c>
      <c r="D43" s="12" t="inlineStr">
        <is>
          <t>SERVICE</t>
        </is>
      </c>
      <c r="E43" s="12" t="inlineStr">
        <is>
          <t>Service and Support</t>
        </is>
      </c>
      <c r="F43" s="12" t="inlineStr">
        <is>
          <t>OPEX</t>
        </is>
      </c>
      <c r="G43" s="12" t="inlineStr">
        <is>
          <t>Operating Expenses</t>
        </is>
      </c>
      <c r="H43" s="12" t="inlineStr">
        <is>
          <t>FINANCE</t>
        </is>
      </c>
      <c r="I43" s="12" t="inlineStr">
        <is>
          <t>Finance Costs</t>
        </is>
      </c>
      <c r="J43" s="13" t="n">
        <v>2392</v>
      </c>
    </row>
    <row r="44">
      <c r="A44" s="40" t="n">
        <v>46055</v>
      </c>
      <c r="B44" s="12" t="inlineStr">
        <is>
          <t>J41040</t>
        </is>
      </c>
      <c r="C44" s="12" t="n">
        <v>2</v>
      </c>
      <c r="D44" s="12" t="inlineStr">
        <is>
          <t>SALES</t>
        </is>
      </c>
      <c r="E44" s="12" t="inlineStr">
        <is>
          <t>Direct Sales</t>
        </is>
      </c>
      <c r="F44" s="12" t="inlineStr">
        <is>
          <t>REVENUE</t>
        </is>
      </c>
      <c r="G44" s="12" t="inlineStr">
        <is>
          <t>Revenue</t>
        </is>
      </c>
      <c r="H44" s="12" t="inlineStr">
        <is>
          <t>REVENUE_PROD</t>
        </is>
      </c>
      <c r="I44" s="12" t="inlineStr">
        <is>
          <t>Product Revenue</t>
        </is>
      </c>
      <c r="J44" s="13" t="n">
        <v>475755</v>
      </c>
    </row>
    <row r="45">
      <c r="A45" s="40" t="n">
        <v>46073</v>
      </c>
      <c r="B45" s="12" t="inlineStr">
        <is>
          <t>J41041</t>
        </is>
      </c>
      <c r="C45" s="12" t="n">
        <v>2</v>
      </c>
      <c r="D45" s="12" t="inlineStr">
        <is>
          <t>CHANNEL</t>
        </is>
      </c>
      <c r="E45" s="12" t="inlineStr">
        <is>
          <t>Distributor Channel</t>
        </is>
      </c>
      <c r="F45" s="12" t="inlineStr">
        <is>
          <t>REVENUE</t>
        </is>
      </c>
      <c r="G45" s="12" t="inlineStr">
        <is>
          <t>Revenue</t>
        </is>
      </c>
      <c r="H45" s="12" t="inlineStr">
        <is>
          <t>REVENUE_PROD</t>
        </is>
      </c>
      <c r="I45" s="12" t="inlineStr">
        <is>
          <t>Product Revenue</t>
        </is>
      </c>
      <c r="J45" s="13" t="n">
        <v>234668</v>
      </c>
    </row>
    <row r="46">
      <c r="A46" s="40" t="n">
        <v>46071</v>
      </c>
      <c r="B46" s="12" t="inlineStr">
        <is>
          <t>J41042</t>
        </is>
      </c>
      <c r="C46" s="12" t="n">
        <v>2</v>
      </c>
      <c r="D46" s="12" t="inlineStr">
        <is>
          <t>SERVICE</t>
        </is>
      </c>
      <c r="E46" s="12" t="inlineStr">
        <is>
          <t>Service and Support</t>
        </is>
      </c>
      <c r="F46" s="12" t="inlineStr">
        <is>
          <t>REVENUE</t>
        </is>
      </c>
      <c r="G46" s="12" t="inlineStr">
        <is>
          <t>Revenue</t>
        </is>
      </c>
      <c r="H46" s="12" t="inlineStr">
        <is>
          <t>REVENUE_PROD</t>
        </is>
      </c>
      <c r="I46" s="12" t="inlineStr">
        <is>
          <t>Product Revenue</t>
        </is>
      </c>
      <c r="J46" s="13" t="n">
        <v>115906</v>
      </c>
    </row>
    <row r="47">
      <c r="A47" s="40" t="n">
        <v>46071</v>
      </c>
      <c r="B47" s="12" t="inlineStr">
        <is>
          <t>J41043</t>
        </is>
      </c>
      <c r="C47" s="12" t="n">
        <v>2</v>
      </c>
      <c r="D47" s="12" t="inlineStr">
        <is>
          <t>SALES</t>
        </is>
      </c>
      <c r="E47" s="12" t="inlineStr">
        <is>
          <t>Direct Sales</t>
        </is>
      </c>
      <c r="F47" s="12" t="inlineStr">
        <is>
          <t>REVENUE</t>
        </is>
      </c>
      <c r="G47" s="12" t="inlineStr">
        <is>
          <t>Revenue</t>
        </is>
      </c>
      <c r="H47" s="12" t="inlineStr">
        <is>
          <t>REVENUE_SVC</t>
        </is>
      </c>
      <c r="I47" s="12" t="inlineStr">
        <is>
          <t>Service Revenue</t>
        </is>
      </c>
      <c r="J47" s="13" t="n">
        <v>3987</v>
      </c>
    </row>
    <row r="48">
      <c r="A48" s="40" t="n">
        <v>46073</v>
      </c>
      <c r="B48" s="12" t="inlineStr">
        <is>
          <t>J41044</t>
        </is>
      </c>
      <c r="C48" s="12" t="n">
        <v>2</v>
      </c>
      <c r="D48" s="12" t="inlineStr">
        <is>
          <t>CHANNEL</t>
        </is>
      </c>
      <c r="E48" s="12" t="inlineStr">
        <is>
          <t>Distributor Channel</t>
        </is>
      </c>
      <c r="F48" s="12" t="inlineStr">
        <is>
          <t>REVENUE</t>
        </is>
      </c>
      <c r="G48" s="12" t="inlineStr">
        <is>
          <t>Revenue</t>
        </is>
      </c>
      <c r="H48" s="12" t="inlineStr">
        <is>
          <t>REVENUE_SVC</t>
        </is>
      </c>
      <c r="I48" s="12" t="inlineStr">
        <is>
          <t>Service Revenue</t>
        </is>
      </c>
      <c r="J48" s="13" t="n">
        <v>4066</v>
      </c>
    </row>
    <row r="49">
      <c r="A49" s="40" t="n">
        <v>46074</v>
      </c>
      <c r="B49" s="12" t="inlineStr">
        <is>
          <t>J41045</t>
        </is>
      </c>
      <c r="C49" s="12" t="n">
        <v>2</v>
      </c>
      <c r="D49" s="12" t="inlineStr">
        <is>
          <t>SERVICE</t>
        </is>
      </c>
      <c r="E49" s="12" t="inlineStr">
        <is>
          <t>Service and Support</t>
        </is>
      </c>
      <c r="F49" s="12" t="inlineStr">
        <is>
          <t>REVENUE</t>
        </is>
      </c>
      <c r="G49" s="12" t="inlineStr">
        <is>
          <t>Revenue</t>
        </is>
      </c>
      <c r="H49" s="12" t="inlineStr">
        <is>
          <t>REVENUE_SVC</t>
        </is>
      </c>
      <c r="I49" s="12" t="inlineStr">
        <is>
          <t>Service Revenue</t>
        </is>
      </c>
      <c r="J49" s="13" t="n">
        <v>73775</v>
      </c>
    </row>
    <row r="50">
      <c r="A50" s="40" t="n">
        <v>46063</v>
      </c>
      <c r="B50" s="12" t="inlineStr">
        <is>
          <t>J41046</t>
        </is>
      </c>
      <c r="C50" s="12" t="n">
        <v>2</v>
      </c>
      <c r="D50" s="12" t="inlineStr">
        <is>
          <t>SALES</t>
        </is>
      </c>
      <c r="E50" s="12" t="inlineStr">
        <is>
          <t>Direct Sales</t>
        </is>
      </c>
      <c r="F50" s="12" t="inlineStr">
        <is>
          <t>COGS</t>
        </is>
      </c>
      <c r="G50" s="12" t="inlineStr">
        <is>
          <t>Cost of Sales</t>
        </is>
      </c>
      <c r="H50" s="12" t="inlineStr">
        <is>
          <t>COGS</t>
        </is>
      </c>
      <c r="I50" s="12" t="inlineStr">
        <is>
          <t>Cost of Goods Sold</t>
        </is>
      </c>
      <c r="J50" s="13" t="n">
        <v>336630</v>
      </c>
    </row>
    <row r="51">
      <c r="A51" s="40" t="n">
        <v>46075</v>
      </c>
      <c r="B51" s="12" t="inlineStr">
        <is>
          <t>J41047</t>
        </is>
      </c>
      <c r="C51" s="12" t="n">
        <v>2</v>
      </c>
      <c r="D51" s="12" t="inlineStr">
        <is>
          <t>CHANNEL</t>
        </is>
      </c>
      <c r="E51" s="12" t="inlineStr">
        <is>
          <t>Distributor Channel</t>
        </is>
      </c>
      <c r="F51" s="12" t="inlineStr">
        <is>
          <t>COGS</t>
        </is>
      </c>
      <c r="G51" s="12" t="inlineStr">
        <is>
          <t>Cost of Sales</t>
        </is>
      </c>
      <c r="H51" s="12" t="inlineStr">
        <is>
          <t>COGS</t>
        </is>
      </c>
      <c r="I51" s="12" t="inlineStr">
        <is>
          <t>Cost of Goods Sold</t>
        </is>
      </c>
      <c r="J51" s="13" t="n">
        <v>178895</v>
      </c>
    </row>
    <row r="52">
      <c r="A52" s="40" t="n">
        <v>46077</v>
      </c>
      <c r="B52" s="12" t="inlineStr">
        <is>
          <t>J41048</t>
        </is>
      </c>
      <c r="C52" s="12" t="n">
        <v>2</v>
      </c>
      <c r="D52" s="12" t="inlineStr">
        <is>
          <t>SERVICE</t>
        </is>
      </c>
      <c r="E52" s="12" t="inlineStr">
        <is>
          <t>Service and Support</t>
        </is>
      </c>
      <c r="F52" s="12" t="inlineStr">
        <is>
          <t>COGS</t>
        </is>
      </c>
      <c r="G52" s="12" t="inlineStr">
        <is>
          <t>Cost of Sales</t>
        </is>
      </c>
      <c r="H52" s="12" t="inlineStr">
        <is>
          <t>COGS</t>
        </is>
      </c>
      <c r="I52" s="12" t="inlineStr">
        <is>
          <t>Cost of Goods Sold</t>
        </is>
      </c>
      <c r="J52" s="13" t="n">
        <v>93629</v>
      </c>
    </row>
    <row r="53">
      <c r="A53" s="40" t="n">
        <v>46062</v>
      </c>
      <c r="B53" s="12" t="inlineStr">
        <is>
          <t>J41049</t>
        </is>
      </c>
      <c r="C53" s="12" t="n">
        <v>2</v>
      </c>
      <c r="D53" s="12" t="inlineStr">
        <is>
          <t>SALES</t>
        </is>
      </c>
      <c r="E53" s="12" t="inlineStr">
        <is>
          <t>Direct Sales</t>
        </is>
      </c>
      <c r="F53" s="12" t="inlineStr">
        <is>
          <t>OPEX</t>
        </is>
      </c>
      <c r="G53" s="12" t="inlineStr">
        <is>
          <t>Operating Expenses</t>
        </is>
      </c>
      <c r="H53" s="12" t="inlineStr">
        <is>
          <t>SALARY</t>
        </is>
      </c>
      <c r="I53" s="12" t="inlineStr">
        <is>
          <t>Payroll</t>
        </is>
      </c>
      <c r="J53" s="13" t="n">
        <v>79259</v>
      </c>
    </row>
    <row r="54">
      <c r="A54" s="40" t="n">
        <v>46077</v>
      </c>
      <c r="B54" s="12" t="inlineStr">
        <is>
          <t>J41050</t>
        </is>
      </c>
      <c r="C54" s="12" t="n">
        <v>2</v>
      </c>
      <c r="D54" s="12" t="inlineStr">
        <is>
          <t>CHANNEL</t>
        </is>
      </c>
      <c r="E54" s="12" t="inlineStr">
        <is>
          <t>Distributor Channel</t>
        </is>
      </c>
      <c r="F54" s="12" t="inlineStr">
        <is>
          <t>OPEX</t>
        </is>
      </c>
      <c r="G54" s="12" t="inlineStr">
        <is>
          <t>Operating Expenses</t>
        </is>
      </c>
      <c r="H54" s="12" t="inlineStr">
        <is>
          <t>SALARY</t>
        </is>
      </c>
      <c r="I54" s="12" t="inlineStr">
        <is>
          <t>Payroll</t>
        </is>
      </c>
      <c r="J54" s="13" t="n">
        <v>41793</v>
      </c>
    </row>
    <row r="55">
      <c r="A55" s="40" t="n">
        <v>46071</v>
      </c>
      <c r="B55" s="12" t="inlineStr">
        <is>
          <t>J41051</t>
        </is>
      </c>
      <c r="C55" s="12" t="n">
        <v>2</v>
      </c>
      <c r="D55" s="12" t="inlineStr">
        <is>
          <t>SERVICE</t>
        </is>
      </c>
      <c r="E55" s="12" t="inlineStr">
        <is>
          <t>Service and Support</t>
        </is>
      </c>
      <c r="F55" s="12" t="inlineStr">
        <is>
          <t>OPEX</t>
        </is>
      </c>
      <c r="G55" s="12" t="inlineStr">
        <is>
          <t>Operating Expenses</t>
        </is>
      </c>
      <c r="H55" s="12" t="inlineStr">
        <is>
          <t>SALARY</t>
        </is>
      </c>
      <c r="I55" s="12" t="inlineStr">
        <is>
          <t>Payroll</t>
        </is>
      </c>
      <c r="J55" s="13" t="n">
        <v>20135</v>
      </c>
    </row>
    <row r="56">
      <c r="A56" s="40" t="n">
        <v>46076</v>
      </c>
      <c r="B56" s="12" t="inlineStr">
        <is>
          <t>J41052</t>
        </is>
      </c>
      <c r="C56" s="12" t="n">
        <v>2</v>
      </c>
      <c r="D56" s="12" t="inlineStr">
        <is>
          <t>SALES</t>
        </is>
      </c>
      <c r="E56" s="12" t="inlineStr">
        <is>
          <t>Direct Sales</t>
        </is>
      </c>
      <c r="F56" s="12" t="inlineStr">
        <is>
          <t>OPEX</t>
        </is>
      </c>
      <c r="G56" s="12" t="inlineStr">
        <is>
          <t>Operating Expenses</t>
        </is>
      </c>
      <c r="H56" s="12" t="inlineStr">
        <is>
          <t>RENT</t>
        </is>
      </c>
      <c r="I56" s="12" t="inlineStr">
        <is>
          <t>Rent and Facilities</t>
        </is>
      </c>
      <c r="J56" s="13" t="n">
        <v>10082</v>
      </c>
    </row>
    <row r="57">
      <c r="A57" s="40" t="n">
        <v>46074</v>
      </c>
      <c r="B57" s="12" t="inlineStr">
        <is>
          <t>J41053</t>
        </is>
      </c>
      <c r="C57" s="12" t="n">
        <v>2</v>
      </c>
      <c r="D57" s="12" t="inlineStr">
        <is>
          <t>CHANNEL</t>
        </is>
      </c>
      <c r="E57" s="12" t="inlineStr">
        <is>
          <t>Distributor Channel</t>
        </is>
      </c>
      <c r="F57" s="12" t="inlineStr">
        <is>
          <t>OPEX</t>
        </is>
      </c>
      <c r="G57" s="12" t="inlineStr">
        <is>
          <t>Operating Expenses</t>
        </is>
      </c>
      <c r="H57" s="12" t="inlineStr">
        <is>
          <t>RENT</t>
        </is>
      </c>
      <c r="I57" s="12" t="inlineStr">
        <is>
          <t>Rent and Facilities</t>
        </is>
      </c>
      <c r="J57" s="13" t="n">
        <v>8723</v>
      </c>
    </row>
    <row r="58">
      <c r="A58" s="40" t="n">
        <v>46068</v>
      </c>
      <c r="B58" s="12" t="inlineStr">
        <is>
          <t>J41054</t>
        </is>
      </c>
      <c r="C58" s="12" t="n">
        <v>2</v>
      </c>
      <c r="D58" s="12" t="inlineStr">
        <is>
          <t>SERVICE</t>
        </is>
      </c>
      <c r="E58" s="12" t="inlineStr">
        <is>
          <t>Service and Support</t>
        </is>
      </c>
      <c r="F58" s="12" t="inlineStr">
        <is>
          <t>OPEX</t>
        </is>
      </c>
      <c r="G58" s="12" t="inlineStr">
        <is>
          <t>Operating Expenses</t>
        </is>
      </c>
      <c r="H58" s="12" t="inlineStr">
        <is>
          <t>RENT</t>
        </is>
      </c>
      <c r="I58" s="12" t="inlineStr">
        <is>
          <t>Rent and Facilities</t>
        </is>
      </c>
      <c r="J58" s="13" t="n">
        <v>8890</v>
      </c>
    </row>
    <row r="59">
      <c r="A59" s="40" t="n">
        <v>46064</v>
      </c>
      <c r="B59" s="12" t="inlineStr">
        <is>
          <t>J41055</t>
        </is>
      </c>
      <c r="C59" s="12" t="n">
        <v>2</v>
      </c>
      <c r="D59" s="12" t="inlineStr">
        <is>
          <t>SALES</t>
        </is>
      </c>
      <c r="E59" s="12" t="inlineStr">
        <is>
          <t>Direct Sales</t>
        </is>
      </c>
      <c r="F59" s="12" t="inlineStr">
        <is>
          <t>OPEX</t>
        </is>
      </c>
      <c r="G59" s="12" t="inlineStr">
        <is>
          <t>Operating Expenses</t>
        </is>
      </c>
      <c r="H59" s="12" t="inlineStr">
        <is>
          <t>VEHICLE</t>
        </is>
      </c>
      <c r="I59" s="12" t="inlineStr">
        <is>
          <t>Vehicle</t>
        </is>
      </c>
      <c r="J59" s="13" t="n">
        <v>9818</v>
      </c>
    </row>
    <row r="60">
      <c r="A60" s="40" t="n">
        <v>46056</v>
      </c>
      <c r="B60" s="12" t="inlineStr">
        <is>
          <t>J41056</t>
        </is>
      </c>
      <c r="C60" s="12" t="n">
        <v>2</v>
      </c>
      <c r="D60" s="12" t="inlineStr">
        <is>
          <t>CHANNEL</t>
        </is>
      </c>
      <c r="E60" s="12" t="inlineStr">
        <is>
          <t>Distributor Channel</t>
        </is>
      </c>
      <c r="F60" s="12" t="inlineStr">
        <is>
          <t>OPEX</t>
        </is>
      </c>
      <c r="G60" s="12" t="inlineStr">
        <is>
          <t>Operating Expenses</t>
        </is>
      </c>
      <c r="H60" s="12" t="inlineStr">
        <is>
          <t>VEHICLE</t>
        </is>
      </c>
      <c r="I60" s="12" t="inlineStr">
        <is>
          <t>Vehicle</t>
        </is>
      </c>
      <c r="J60" s="13" t="n">
        <v>4978</v>
      </c>
    </row>
    <row r="61">
      <c r="A61" s="40" t="n">
        <v>46062</v>
      </c>
      <c r="B61" s="12" t="inlineStr">
        <is>
          <t>J41057</t>
        </is>
      </c>
      <c r="C61" s="12" t="n">
        <v>2</v>
      </c>
      <c r="D61" s="12" t="inlineStr">
        <is>
          <t>SERVICE</t>
        </is>
      </c>
      <c r="E61" s="12" t="inlineStr">
        <is>
          <t>Service and Support</t>
        </is>
      </c>
      <c r="F61" s="12" t="inlineStr">
        <is>
          <t>OPEX</t>
        </is>
      </c>
      <c r="G61" s="12" t="inlineStr">
        <is>
          <t>Operating Expenses</t>
        </is>
      </c>
      <c r="H61" s="12" t="inlineStr">
        <is>
          <t>VEHICLE</t>
        </is>
      </c>
      <c r="I61" s="12" t="inlineStr">
        <is>
          <t>Vehicle</t>
        </is>
      </c>
      <c r="J61" s="13" t="n">
        <v>2853</v>
      </c>
    </row>
    <row r="62">
      <c r="A62" s="40" t="n">
        <v>46072</v>
      </c>
      <c r="B62" s="12" t="inlineStr">
        <is>
          <t>J41058</t>
        </is>
      </c>
      <c r="C62" s="12" t="n">
        <v>2</v>
      </c>
      <c r="D62" s="12" t="inlineStr">
        <is>
          <t>SALES</t>
        </is>
      </c>
      <c r="E62" s="12" t="inlineStr">
        <is>
          <t>Direct Sales</t>
        </is>
      </c>
      <c r="F62" s="12" t="inlineStr">
        <is>
          <t>OPEX</t>
        </is>
      </c>
      <c r="G62" s="12" t="inlineStr">
        <is>
          <t>Operating Expenses</t>
        </is>
      </c>
      <c r="H62" s="12" t="inlineStr">
        <is>
          <t>MARKETING</t>
        </is>
      </c>
      <c r="I62" s="12" t="inlineStr">
        <is>
          <t>Marketing</t>
        </is>
      </c>
      <c r="J62" s="13" t="n">
        <v>16759</v>
      </c>
    </row>
    <row r="63">
      <c r="A63" s="40" t="n">
        <v>46068</v>
      </c>
      <c r="B63" s="12" t="inlineStr">
        <is>
          <t>J41059</t>
        </is>
      </c>
      <c r="C63" s="12" t="n">
        <v>2</v>
      </c>
      <c r="D63" s="12" t="inlineStr">
        <is>
          <t>CHANNEL</t>
        </is>
      </c>
      <c r="E63" s="12" t="inlineStr">
        <is>
          <t>Distributor Channel</t>
        </is>
      </c>
      <c r="F63" s="12" t="inlineStr">
        <is>
          <t>OPEX</t>
        </is>
      </c>
      <c r="G63" s="12" t="inlineStr">
        <is>
          <t>Operating Expenses</t>
        </is>
      </c>
      <c r="H63" s="12" t="inlineStr">
        <is>
          <t>MARKETING</t>
        </is>
      </c>
      <c r="I63" s="12" t="inlineStr">
        <is>
          <t>Marketing</t>
        </is>
      </c>
      <c r="J63" s="13" t="n">
        <v>9390</v>
      </c>
    </row>
    <row r="64">
      <c r="A64" s="40" t="n">
        <v>46079</v>
      </c>
      <c r="B64" s="12" t="inlineStr">
        <is>
          <t>J41060</t>
        </is>
      </c>
      <c r="C64" s="12" t="n">
        <v>2</v>
      </c>
      <c r="D64" s="12" t="inlineStr">
        <is>
          <t>SERVICE</t>
        </is>
      </c>
      <c r="E64" s="12" t="inlineStr">
        <is>
          <t>Service and Support</t>
        </is>
      </c>
      <c r="F64" s="12" t="inlineStr">
        <is>
          <t>OPEX</t>
        </is>
      </c>
      <c r="G64" s="12" t="inlineStr">
        <is>
          <t>Operating Expenses</t>
        </is>
      </c>
      <c r="H64" s="12" t="inlineStr">
        <is>
          <t>MARKETING</t>
        </is>
      </c>
      <c r="I64" s="12" t="inlineStr">
        <is>
          <t>Marketing</t>
        </is>
      </c>
      <c r="J64" s="13" t="n">
        <v>4483</v>
      </c>
    </row>
    <row r="65">
      <c r="A65" s="40" t="n">
        <v>46071</v>
      </c>
      <c r="B65" s="12" t="inlineStr">
        <is>
          <t>J41061</t>
        </is>
      </c>
      <c r="C65" s="12" t="n">
        <v>2</v>
      </c>
      <c r="D65" s="12" t="inlineStr">
        <is>
          <t>SALES</t>
        </is>
      </c>
      <c r="E65" s="12" t="inlineStr">
        <is>
          <t>Direct Sales</t>
        </is>
      </c>
      <c r="F65" s="12" t="inlineStr">
        <is>
          <t>OPEX</t>
        </is>
      </c>
      <c r="G65" s="12" t="inlineStr">
        <is>
          <t>Operating Expenses</t>
        </is>
      </c>
      <c r="H65" s="12" t="inlineStr">
        <is>
          <t>ENTERTAIN</t>
        </is>
      </c>
      <c r="I65" s="12" t="inlineStr">
        <is>
          <t>Entertainment</t>
        </is>
      </c>
      <c r="J65" s="13" t="n">
        <v>2367</v>
      </c>
    </row>
    <row r="66">
      <c r="A66" s="40" t="n">
        <v>46060</v>
      </c>
      <c r="B66" s="12" t="inlineStr">
        <is>
          <t>J41062</t>
        </is>
      </c>
      <c r="C66" s="12" t="n">
        <v>2</v>
      </c>
      <c r="D66" s="12" t="inlineStr">
        <is>
          <t>CHANNEL</t>
        </is>
      </c>
      <c r="E66" s="12" t="inlineStr">
        <is>
          <t>Distributor Channel</t>
        </is>
      </c>
      <c r="F66" s="12" t="inlineStr">
        <is>
          <t>OPEX</t>
        </is>
      </c>
      <c r="G66" s="12" t="inlineStr">
        <is>
          <t>Operating Expenses</t>
        </is>
      </c>
      <c r="H66" s="12" t="inlineStr">
        <is>
          <t>ENTERTAIN</t>
        </is>
      </c>
      <c r="I66" s="12" t="inlineStr">
        <is>
          <t>Entertainment</t>
        </is>
      </c>
      <c r="J66" s="13" t="n">
        <v>1339</v>
      </c>
    </row>
    <row r="67">
      <c r="A67" s="40" t="n">
        <v>46078</v>
      </c>
      <c r="B67" s="12" t="inlineStr">
        <is>
          <t>J41063</t>
        </is>
      </c>
      <c r="C67" s="12" t="n">
        <v>2</v>
      </c>
      <c r="D67" s="12" t="inlineStr">
        <is>
          <t>SERVICE</t>
        </is>
      </c>
      <c r="E67" s="12" t="inlineStr">
        <is>
          <t>Service and Support</t>
        </is>
      </c>
      <c r="F67" s="12" t="inlineStr">
        <is>
          <t>OPEX</t>
        </is>
      </c>
      <c r="G67" s="12" t="inlineStr">
        <is>
          <t>Operating Expenses</t>
        </is>
      </c>
      <c r="H67" s="12" t="inlineStr">
        <is>
          <t>ENTERTAIN</t>
        </is>
      </c>
      <c r="I67" s="12" t="inlineStr">
        <is>
          <t>Entertainment</t>
        </is>
      </c>
      <c r="J67" s="13" t="n">
        <v>706</v>
      </c>
    </row>
    <row r="68">
      <c r="A68" s="40" t="n">
        <v>46076</v>
      </c>
      <c r="B68" s="12" t="inlineStr">
        <is>
          <t>J41064</t>
        </is>
      </c>
      <c r="C68" s="12" t="n">
        <v>2</v>
      </c>
      <c r="D68" s="12" t="inlineStr">
        <is>
          <t>SALES</t>
        </is>
      </c>
      <c r="E68" s="12" t="inlineStr">
        <is>
          <t>Direct Sales</t>
        </is>
      </c>
      <c r="F68" s="12" t="inlineStr">
        <is>
          <t>OPEX</t>
        </is>
      </c>
      <c r="G68" s="12" t="inlineStr">
        <is>
          <t>Operating Expenses</t>
        </is>
      </c>
      <c r="H68" s="12" t="inlineStr">
        <is>
          <t>OFFICE</t>
        </is>
      </c>
      <c r="I68" s="12" t="inlineStr">
        <is>
          <t>Office</t>
        </is>
      </c>
      <c r="J68" s="13" t="n">
        <v>5274</v>
      </c>
    </row>
    <row r="69">
      <c r="A69" s="40" t="n">
        <v>46064</v>
      </c>
      <c r="B69" s="12" t="inlineStr">
        <is>
          <t>J41065</t>
        </is>
      </c>
      <c r="C69" s="12" t="n">
        <v>2</v>
      </c>
      <c r="D69" s="12" t="inlineStr">
        <is>
          <t>CHANNEL</t>
        </is>
      </c>
      <c r="E69" s="12" t="inlineStr">
        <is>
          <t>Distributor Channel</t>
        </is>
      </c>
      <c r="F69" s="12" t="inlineStr">
        <is>
          <t>OPEX</t>
        </is>
      </c>
      <c r="G69" s="12" t="inlineStr">
        <is>
          <t>Operating Expenses</t>
        </is>
      </c>
      <c r="H69" s="12" t="inlineStr">
        <is>
          <t>OFFICE</t>
        </is>
      </c>
      <c r="I69" s="12" t="inlineStr">
        <is>
          <t>Office</t>
        </is>
      </c>
      <c r="J69" s="13" t="n">
        <v>2657</v>
      </c>
    </row>
    <row r="70">
      <c r="A70" s="40" t="n">
        <v>46058</v>
      </c>
      <c r="B70" s="12" t="inlineStr">
        <is>
          <t>J41066</t>
        </is>
      </c>
      <c r="C70" s="12" t="n">
        <v>2</v>
      </c>
      <c r="D70" s="12" t="inlineStr">
        <is>
          <t>SERVICE</t>
        </is>
      </c>
      <c r="E70" s="12" t="inlineStr">
        <is>
          <t>Service and Support</t>
        </is>
      </c>
      <c r="F70" s="12" t="inlineStr">
        <is>
          <t>OPEX</t>
        </is>
      </c>
      <c r="G70" s="12" t="inlineStr">
        <is>
          <t>Operating Expenses</t>
        </is>
      </c>
      <c r="H70" s="12" t="inlineStr">
        <is>
          <t>OFFICE</t>
        </is>
      </c>
      <c r="I70" s="12" t="inlineStr">
        <is>
          <t>Office</t>
        </is>
      </c>
      <c r="J70" s="13" t="n">
        <v>1226</v>
      </c>
    </row>
    <row r="71">
      <c r="A71" s="40" t="n">
        <v>46061</v>
      </c>
      <c r="B71" s="12" t="inlineStr">
        <is>
          <t>J41067</t>
        </is>
      </c>
      <c r="C71" s="12" t="n">
        <v>2</v>
      </c>
      <c r="D71" s="12" t="inlineStr">
        <is>
          <t>SALES</t>
        </is>
      </c>
      <c r="E71" s="12" t="inlineStr">
        <is>
          <t>Direct Sales</t>
        </is>
      </c>
      <c r="F71" s="12" t="inlineStr">
        <is>
          <t>OPEX</t>
        </is>
      </c>
      <c r="G71" s="12" t="inlineStr">
        <is>
          <t>Operating Expenses</t>
        </is>
      </c>
      <c r="H71" s="12" t="inlineStr">
        <is>
          <t>MERCHANT</t>
        </is>
      </c>
      <c r="I71" s="12" t="inlineStr">
        <is>
          <t>Merchant Fees</t>
        </is>
      </c>
      <c r="J71" s="13" t="n">
        <v>6019</v>
      </c>
    </row>
    <row r="72">
      <c r="A72" s="40" t="n">
        <v>46075</v>
      </c>
      <c r="B72" s="12" t="inlineStr">
        <is>
          <t>J41068</t>
        </is>
      </c>
      <c r="C72" s="12" t="n">
        <v>2</v>
      </c>
      <c r="D72" s="12" t="inlineStr">
        <is>
          <t>CHANNEL</t>
        </is>
      </c>
      <c r="E72" s="12" t="inlineStr">
        <is>
          <t>Distributor Channel</t>
        </is>
      </c>
      <c r="F72" s="12" t="inlineStr">
        <is>
          <t>OPEX</t>
        </is>
      </c>
      <c r="G72" s="12" t="inlineStr">
        <is>
          <t>Operating Expenses</t>
        </is>
      </c>
      <c r="H72" s="12" t="inlineStr">
        <is>
          <t>MERCHANT</t>
        </is>
      </c>
      <c r="I72" s="12" t="inlineStr">
        <is>
          <t>Merchant Fees</t>
        </is>
      </c>
      <c r="J72" s="13" t="n">
        <v>2961</v>
      </c>
    </row>
    <row r="73">
      <c r="A73" s="40" t="n">
        <v>46062</v>
      </c>
      <c r="B73" s="12" t="inlineStr">
        <is>
          <t>J41069</t>
        </is>
      </c>
      <c r="C73" s="12" t="n">
        <v>2</v>
      </c>
      <c r="D73" s="12" t="inlineStr">
        <is>
          <t>SERVICE</t>
        </is>
      </c>
      <c r="E73" s="12" t="inlineStr">
        <is>
          <t>Service and Support</t>
        </is>
      </c>
      <c r="F73" s="12" t="inlineStr">
        <is>
          <t>OPEX</t>
        </is>
      </c>
      <c r="G73" s="12" t="inlineStr">
        <is>
          <t>Operating Expenses</t>
        </is>
      </c>
      <c r="H73" s="12" t="inlineStr">
        <is>
          <t>MERCHANT</t>
        </is>
      </c>
      <c r="I73" s="12" t="inlineStr">
        <is>
          <t>Merchant Fees</t>
        </is>
      </c>
      <c r="J73" s="13" t="n">
        <v>1595</v>
      </c>
    </row>
    <row r="74">
      <c r="A74" s="40" t="n">
        <v>46062</v>
      </c>
      <c r="B74" s="12" t="inlineStr">
        <is>
          <t>J41070</t>
        </is>
      </c>
      <c r="C74" s="12" t="n">
        <v>2</v>
      </c>
      <c r="D74" s="12" t="inlineStr">
        <is>
          <t>SALES</t>
        </is>
      </c>
      <c r="E74" s="12" t="inlineStr">
        <is>
          <t>Direct Sales</t>
        </is>
      </c>
      <c r="F74" s="12" t="inlineStr">
        <is>
          <t>OPEX</t>
        </is>
      </c>
      <c r="G74" s="12" t="inlineStr">
        <is>
          <t>Operating Expenses</t>
        </is>
      </c>
      <c r="H74" s="12" t="inlineStr">
        <is>
          <t>PROFSVC</t>
        </is>
      </c>
      <c r="I74" s="12" t="inlineStr">
        <is>
          <t>Professional Fees</t>
        </is>
      </c>
      <c r="J74" s="13" t="n">
        <v>6470</v>
      </c>
    </row>
    <row r="75">
      <c r="A75" s="40" t="n">
        <v>46056</v>
      </c>
      <c r="B75" s="12" t="inlineStr">
        <is>
          <t>J41071</t>
        </is>
      </c>
      <c r="C75" s="12" t="n">
        <v>2</v>
      </c>
      <c r="D75" s="12" t="inlineStr">
        <is>
          <t>CHANNEL</t>
        </is>
      </c>
      <c r="E75" s="12" t="inlineStr">
        <is>
          <t>Distributor Channel</t>
        </is>
      </c>
      <c r="F75" s="12" t="inlineStr">
        <is>
          <t>OPEX</t>
        </is>
      </c>
      <c r="G75" s="12" t="inlineStr">
        <is>
          <t>Operating Expenses</t>
        </is>
      </c>
      <c r="H75" s="12" t="inlineStr">
        <is>
          <t>PROFSVC</t>
        </is>
      </c>
      <c r="I75" s="12" t="inlineStr">
        <is>
          <t>Professional Fees</t>
        </is>
      </c>
      <c r="J75" s="13" t="n">
        <v>3525</v>
      </c>
    </row>
    <row r="76">
      <c r="A76" s="40" t="n">
        <v>46080</v>
      </c>
      <c r="B76" s="12" t="inlineStr">
        <is>
          <t>J41072</t>
        </is>
      </c>
      <c r="C76" s="12" t="n">
        <v>2</v>
      </c>
      <c r="D76" s="12" t="inlineStr">
        <is>
          <t>SERVICE</t>
        </is>
      </c>
      <c r="E76" s="12" t="inlineStr">
        <is>
          <t>Service and Support</t>
        </is>
      </c>
      <c r="F76" s="12" t="inlineStr">
        <is>
          <t>OPEX</t>
        </is>
      </c>
      <c r="G76" s="12" t="inlineStr">
        <is>
          <t>Operating Expenses</t>
        </is>
      </c>
      <c r="H76" s="12" t="inlineStr">
        <is>
          <t>PROFSVC</t>
        </is>
      </c>
      <c r="I76" s="12" t="inlineStr">
        <is>
          <t>Professional Fees</t>
        </is>
      </c>
      <c r="J76" s="13" t="n">
        <v>1877</v>
      </c>
    </row>
    <row r="77">
      <c r="A77" s="40" t="n">
        <v>46062</v>
      </c>
      <c r="B77" s="12" t="inlineStr">
        <is>
          <t>J41073</t>
        </is>
      </c>
      <c r="C77" s="12" t="n">
        <v>2</v>
      </c>
      <c r="D77" s="12" t="inlineStr">
        <is>
          <t>SALES</t>
        </is>
      </c>
      <c r="E77" s="12" t="inlineStr">
        <is>
          <t>Direct Sales</t>
        </is>
      </c>
      <c r="F77" s="12" t="inlineStr">
        <is>
          <t>OPEX</t>
        </is>
      </c>
      <c r="G77" s="12" t="inlineStr">
        <is>
          <t>Operating Expenses</t>
        </is>
      </c>
      <c r="H77" s="12" t="inlineStr">
        <is>
          <t>DEPREC</t>
        </is>
      </c>
      <c r="I77" s="12" t="inlineStr">
        <is>
          <t>Depreciation</t>
        </is>
      </c>
      <c r="J77" s="13" t="n">
        <v>4658</v>
      </c>
    </row>
    <row r="78">
      <c r="A78" s="40" t="n">
        <v>46059</v>
      </c>
      <c r="B78" s="12" t="inlineStr">
        <is>
          <t>J41074</t>
        </is>
      </c>
      <c r="C78" s="12" t="n">
        <v>2</v>
      </c>
      <c r="D78" s="12" t="inlineStr">
        <is>
          <t>CHANNEL</t>
        </is>
      </c>
      <c r="E78" s="12" t="inlineStr">
        <is>
          <t>Distributor Channel</t>
        </is>
      </c>
      <c r="F78" s="12" t="inlineStr">
        <is>
          <t>OPEX</t>
        </is>
      </c>
      <c r="G78" s="12" t="inlineStr">
        <is>
          <t>Operating Expenses</t>
        </is>
      </c>
      <c r="H78" s="12" t="inlineStr">
        <is>
          <t>DEPREC</t>
        </is>
      </c>
      <c r="I78" s="12" t="inlineStr">
        <is>
          <t>Depreciation</t>
        </is>
      </c>
      <c r="J78" s="13" t="n">
        <v>4044</v>
      </c>
    </row>
    <row r="79">
      <c r="A79" s="40" t="n">
        <v>46075</v>
      </c>
      <c r="B79" s="12" t="inlineStr">
        <is>
          <t>J41075</t>
        </is>
      </c>
      <c r="C79" s="12" t="n">
        <v>2</v>
      </c>
      <c r="D79" s="12" t="inlineStr">
        <is>
          <t>SERVICE</t>
        </is>
      </c>
      <c r="E79" s="12" t="inlineStr">
        <is>
          <t>Service and Support</t>
        </is>
      </c>
      <c r="F79" s="12" t="inlineStr">
        <is>
          <t>OPEX</t>
        </is>
      </c>
      <c r="G79" s="12" t="inlineStr">
        <is>
          <t>Operating Expenses</t>
        </is>
      </c>
      <c r="H79" s="12" t="inlineStr">
        <is>
          <t>DEPREC</t>
        </is>
      </c>
      <c r="I79" s="12" t="inlineStr">
        <is>
          <t>Depreciation</t>
        </is>
      </c>
      <c r="J79" s="13" t="n">
        <v>3992</v>
      </c>
    </row>
    <row r="80">
      <c r="A80" s="40" t="n">
        <v>46068</v>
      </c>
      <c r="B80" s="12" t="inlineStr">
        <is>
          <t>J41076</t>
        </is>
      </c>
      <c r="C80" s="12" t="n">
        <v>2</v>
      </c>
      <c r="D80" s="12" t="inlineStr">
        <is>
          <t>SALES</t>
        </is>
      </c>
      <c r="E80" s="12" t="inlineStr">
        <is>
          <t>Direct Sales</t>
        </is>
      </c>
      <c r="F80" s="12" t="inlineStr">
        <is>
          <t>OPEX</t>
        </is>
      </c>
      <c r="G80" s="12" t="inlineStr">
        <is>
          <t>Operating Expenses</t>
        </is>
      </c>
      <c r="H80" s="12" t="inlineStr">
        <is>
          <t>FINANCE</t>
        </is>
      </c>
      <c r="I80" s="12" t="inlineStr">
        <is>
          <t>Finance Costs</t>
        </is>
      </c>
      <c r="J80" s="13" t="n">
        <v>2426</v>
      </c>
    </row>
    <row r="81">
      <c r="A81" s="40" t="n">
        <v>46070</v>
      </c>
      <c r="B81" s="12" t="inlineStr">
        <is>
          <t>J41077</t>
        </is>
      </c>
      <c r="C81" s="12" t="n">
        <v>2</v>
      </c>
      <c r="D81" s="12" t="inlineStr">
        <is>
          <t>CHANNEL</t>
        </is>
      </c>
      <c r="E81" s="12" t="inlineStr">
        <is>
          <t>Distributor Channel</t>
        </is>
      </c>
      <c r="F81" s="12" t="inlineStr">
        <is>
          <t>OPEX</t>
        </is>
      </c>
      <c r="G81" s="12" t="inlineStr">
        <is>
          <t>Operating Expenses</t>
        </is>
      </c>
      <c r="H81" s="12" t="inlineStr">
        <is>
          <t>FINANCE</t>
        </is>
      </c>
      <c r="I81" s="12" t="inlineStr">
        <is>
          <t>Finance Costs</t>
        </is>
      </c>
      <c r="J81" s="13" t="n">
        <v>2240</v>
      </c>
    </row>
    <row r="82">
      <c r="A82" s="40" t="n">
        <v>46066</v>
      </c>
      <c r="B82" s="12" t="inlineStr">
        <is>
          <t>J41078</t>
        </is>
      </c>
      <c r="C82" s="12" t="n">
        <v>2</v>
      </c>
      <c r="D82" s="12" t="inlineStr">
        <is>
          <t>SERVICE</t>
        </is>
      </c>
      <c r="E82" s="12" t="inlineStr">
        <is>
          <t>Service and Support</t>
        </is>
      </c>
      <c r="F82" s="12" t="inlineStr">
        <is>
          <t>OPEX</t>
        </is>
      </c>
      <c r="G82" s="12" t="inlineStr">
        <is>
          <t>Operating Expenses</t>
        </is>
      </c>
      <c r="H82" s="12" t="inlineStr">
        <is>
          <t>FINANCE</t>
        </is>
      </c>
      <c r="I82" s="12" t="inlineStr">
        <is>
          <t>Finance Costs</t>
        </is>
      </c>
      <c r="J82" s="13" t="n">
        <v>2071</v>
      </c>
    </row>
    <row r="83">
      <c r="A83" s="40" t="n">
        <v>46096</v>
      </c>
      <c r="B83" s="12" t="inlineStr">
        <is>
          <t>J41079</t>
        </is>
      </c>
      <c r="C83" s="12" t="n">
        <v>3</v>
      </c>
      <c r="D83" s="12" t="inlineStr">
        <is>
          <t>SALES</t>
        </is>
      </c>
      <c r="E83" s="12" t="inlineStr">
        <is>
          <t>Direct Sales</t>
        </is>
      </c>
      <c r="F83" s="12" t="inlineStr">
        <is>
          <t>REVENUE</t>
        </is>
      </c>
      <c r="G83" s="12" t="inlineStr">
        <is>
          <t>Revenue</t>
        </is>
      </c>
      <c r="H83" s="12" t="inlineStr">
        <is>
          <t>REVENUE_PROD</t>
        </is>
      </c>
      <c r="I83" s="12" t="inlineStr">
        <is>
          <t>Product Revenue</t>
        </is>
      </c>
      <c r="J83" s="13" t="n">
        <v>617347</v>
      </c>
    </row>
    <row r="84">
      <c r="A84" s="40" t="n">
        <v>46084</v>
      </c>
      <c r="B84" s="12" t="inlineStr">
        <is>
          <t>J41080</t>
        </is>
      </c>
      <c r="C84" s="12" t="n">
        <v>3</v>
      </c>
      <c r="D84" s="12" t="inlineStr">
        <is>
          <t>CHANNEL</t>
        </is>
      </c>
      <c r="E84" s="12" t="inlineStr">
        <is>
          <t>Distributor Channel</t>
        </is>
      </c>
      <c r="F84" s="12" t="inlineStr">
        <is>
          <t>REVENUE</t>
        </is>
      </c>
      <c r="G84" s="12" t="inlineStr">
        <is>
          <t>Revenue</t>
        </is>
      </c>
      <c r="H84" s="12" t="inlineStr">
        <is>
          <t>REVENUE_PROD</t>
        </is>
      </c>
      <c r="I84" s="12" t="inlineStr">
        <is>
          <t>Product Revenue</t>
        </is>
      </c>
      <c r="J84" s="13" t="n">
        <v>304330</v>
      </c>
    </row>
    <row r="85">
      <c r="A85" s="40" t="n">
        <v>46085</v>
      </c>
      <c r="B85" s="12" t="inlineStr">
        <is>
          <t>J41081</t>
        </is>
      </c>
      <c r="C85" s="12" t="n">
        <v>3</v>
      </c>
      <c r="D85" s="12" t="inlineStr">
        <is>
          <t>SERVICE</t>
        </is>
      </c>
      <c r="E85" s="12" t="inlineStr">
        <is>
          <t>Service and Support</t>
        </is>
      </c>
      <c r="F85" s="12" t="inlineStr">
        <is>
          <t>REVENUE</t>
        </is>
      </c>
      <c r="G85" s="12" t="inlineStr">
        <is>
          <t>Revenue</t>
        </is>
      </c>
      <c r="H85" s="12" t="inlineStr">
        <is>
          <t>REVENUE_PROD</t>
        </is>
      </c>
      <c r="I85" s="12" t="inlineStr">
        <is>
          <t>Product Revenue</t>
        </is>
      </c>
      <c r="J85" s="13" t="n">
        <v>151277</v>
      </c>
    </row>
    <row r="86">
      <c r="A86" s="40" t="n">
        <v>46084</v>
      </c>
      <c r="B86" s="12" t="inlineStr">
        <is>
          <t>J41082</t>
        </is>
      </c>
      <c r="C86" s="12" t="n">
        <v>3</v>
      </c>
      <c r="D86" s="12" t="inlineStr">
        <is>
          <t>SALES</t>
        </is>
      </c>
      <c r="E86" s="12" t="inlineStr">
        <is>
          <t>Direct Sales</t>
        </is>
      </c>
      <c r="F86" s="12" t="inlineStr">
        <is>
          <t>REVENUE</t>
        </is>
      </c>
      <c r="G86" s="12" t="inlineStr">
        <is>
          <t>Revenue</t>
        </is>
      </c>
      <c r="H86" s="12" t="inlineStr">
        <is>
          <t>REVENUE_SVC</t>
        </is>
      </c>
      <c r="I86" s="12" t="inlineStr">
        <is>
          <t>Service Revenue</t>
        </is>
      </c>
      <c r="J86" s="13" t="n">
        <v>4522</v>
      </c>
    </row>
    <row r="87">
      <c r="A87" s="40" t="n">
        <v>46098</v>
      </c>
      <c r="B87" s="12" t="inlineStr">
        <is>
          <t>J41083</t>
        </is>
      </c>
      <c r="C87" s="12" t="n">
        <v>3</v>
      </c>
      <c r="D87" s="12" t="inlineStr">
        <is>
          <t>CHANNEL</t>
        </is>
      </c>
      <c r="E87" s="12" t="inlineStr">
        <is>
          <t>Distributor Channel</t>
        </is>
      </c>
      <c r="F87" s="12" t="inlineStr">
        <is>
          <t>REVENUE</t>
        </is>
      </c>
      <c r="G87" s="12" t="inlineStr">
        <is>
          <t>Revenue</t>
        </is>
      </c>
      <c r="H87" s="12" t="inlineStr">
        <is>
          <t>REVENUE_SVC</t>
        </is>
      </c>
      <c r="I87" s="12" t="inlineStr">
        <is>
          <t>Service Revenue</t>
        </is>
      </c>
      <c r="J87" s="13" t="n">
        <v>5204</v>
      </c>
    </row>
    <row r="88">
      <c r="A88" s="40" t="n">
        <v>46083</v>
      </c>
      <c r="B88" s="12" t="inlineStr">
        <is>
          <t>J41084</t>
        </is>
      </c>
      <c r="C88" s="12" t="n">
        <v>3</v>
      </c>
      <c r="D88" s="12" t="inlineStr">
        <is>
          <t>SERVICE</t>
        </is>
      </c>
      <c r="E88" s="12" t="inlineStr">
        <is>
          <t>Service and Support</t>
        </is>
      </c>
      <c r="F88" s="12" t="inlineStr">
        <is>
          <t>REVENUE</t>
        </is>
      </c>
      <c r="G88" s="12" t="inlineStr">
        <is>
          <t>Revenue</t>
        </is>
      </c>
      <c r="H88" s="12" t="inlineStr">
        <is>
          <t>REVENUE_SVC</t>
        </is>
      </c>
      <c r="I88" s="12" t="inlineStr">
        <is>
          <t>Service Revenue</t>
        </is>
      </c>
      <c r="J88" s="13" t="n">
        <v>81097</v>
      </c>
    </row>
    <row r="89">
      <c r="A89" s="40" t="n">
        <v>46102</v>
      </c>
      <c r="B89" s="12" t="inlineStr">
        <is>
          <t>J41085</t>
        </is>
      </c>
      <c r="C89" s="12" t="n">
        <v>3</v>
      </c>
      <c r="D89" s="12" t="inlineStr">
        <is>
          <t>SALES</t>
        </is>
      </c>
      <c r="E89" s="12" t="inlineStr">
        <is>
          <t>Direct Sales</t>
        </is>
      </c>
      <c r="F89" s="12" t="inlineStr">
        <is>
          <t>COGS</t>
        </is>
      </c>
      <c r="G89" s="12" t="inlineStr">
        <is>
          <t>Cost of Sales</t>
        </is>
      </c>
      <c r="H89" s="12" t="inlineStr">
        <is>
          <t>COGS</t>
        </is>
      </c>
      <c r="I89" s="12" t="inlineStr">
        <is>
          <t>Cost of Goods Sold</t>
        </is>
      </c>
      <c r="J89" s="13" t="n">
        <v>430362</v>
      </c>
    </row>
    <row r="90">
      <c r="A90" s="40" t="n">
        <v>46089</v>
      </c>
      <c r="B90" s="12" t="inlineStr">
        <is>
          <t>J41086</t>
        </is>
      </c>
      <c r="C90" s="12" t="n">
        <v>3</v>
      </c>
      <c r="D90" s="12" t="inlineStr">
        <is>
          <t>CHANNEL</t>
        </is>
      </c>
      <c r="E90" s="12" t="inlineStr">
        <is>
          <t>Distributor Channel</t>
        </is>
      </c>
      <c r="F90" s="12" t="inlineStr">
        <is>
          <t>COGS</t>
        </is>
      </c>
      <c r="G90" s="12" t="inlineStr">
        <is>
          <t>Cost of Sales</t>
        </is>
      </c>
      <c r="H90" s="12" t="inlineStr">
        <is>
          <t>COGS</t>
        </is>
      </c>
      <c r="I90" s="12" t="inlineStr">
        <is>
          <t>Cost of Goods Sold</t>
        </is>
      </c>
      <c r="J90" s="13" t="n">
        <v>232846</v>
      </c>
    </row>
    <row r="91">
      <c r="A91" s="40" t="n">
        <v>46103</v>
      </c>
      <c r="B91" s="12" t="inlineStr">
        <is>
          <t>J41087</t>
        </is>
      </c>
      <c r="C91" s="12" t="n">
        <v>3</v>
      </c>
      <c r="D91" s="12" t="inlineStr">
        <is>
          <t>SERVICE</t>
        </is>
      </c>
      <c r="E91" s="12" t="inlineStr">
        <is>
          <t>Service and Support</t>
        </is>
      </c>
      <c r="F91" s="12" t="inlineStr">
        <is>
          <t>COGS</t>
        </is>
      </c>
      <c r="G91" s="12" t="inlineStr">
        <is>
          <t>Cost of Sales</t>
        </is>
      </c>
      <c r="H91" s="12" t="inlineStr">
        <is>
          <t>COGS</t>
        </is>
      </c>
      <c r="I91" s="12" t="inlineStr">
        <is>
          <t>Cost of Goods Sold</t>
        </is>
      </c>
      <c r="J91" s="13" t="n">
        <v>106333</v>
      </c>
    </row>
    <row r="92">
      <c r="A92" s="40" t="n">
        <v>46092</v>
      </c>
      <c r="B92" s="12" t="inlineStr">
        <is>
          <t>J41088</t>
        </is>
      </c>
      <c r="C92" s="12" t="n">
        <v>3</v>
      </c>
      <c r="D92" s="12" t="inlineStr">
        <is>
          <t>SALES</t>
        </is>
      </c>
      <c r="E92" s="12" t="inlineStr">
        <is>
          <t>Direct Sales</t>
        </is>
      </c>
      <c r="F92" s="12" t="inlineStr">
        <is>
          <t>OPEX</t>
        </is>
      </c>
      <c r="G92" s="12" t="inlineStr">
        <is>
          <t>Operating Expenses</t>
        </is>
      </c>
      <c r="H92" s="12" t="inlineStr">
        <is>
          <t>SALARY</t>
        </is>
      </c>
      <c r="I92" s="12" t="inlineStr">
        <is>
          <t>Payroll</t>
        </is>
      </c>
      <c r="J92" s="13" t="n">
        <v>91989</v>
      </c>
    </row>
    <row r="93">
      <c r="A93" s="40" t="n">
        <v>46100</v>
      </c>
      <c r="B93" s="12" t="inlineStr">
        <is>
          <t>J41089</t>
        </is>
      </c>
      <c r="C93" s="12" t="n">
        <v>3</v>
      </c>
      <c r="D93" s="12" t="inlineStr">
        <is>
          <t>CHANNEL</t>
        </is>
      </c>
      <c r="E93" s="12" t="inlineStr">
        <is>
          <t>Distributor Channel</t>
        </is>
      </c>
      <c r="F93" s="12" t="inlineStr">
        <is>
          <t>OPEX</t>
        </is>
      </c>
      <c r="G93" s="12" t="inlineStr">
        <is>
          <t>Operating Expenses</t>
        </is>
      </c>
      <c r="H93" s="12" t="inlineStr">
        <is>
          <t>SALARY</t>
        </is>
      </c>
      <c r="I93" s="12" t="inlineStr">
        <is>
          <t>Payroll</t>
        </is>
      </c>
      <c r="J93" s="13" t="n">
        <v>51684</v>
      </c>
    </row>
    <row r="94">
      <c r="A94" s="40" t="n">
        <v>46106</v>
      </c>
      <c r="B94" s="12" t="inlineStr">
        <is>
          <t>J41090</t>
        </is>
      </c>
      <c r="C94" s="12" t="n">
        <v>3</v>
      </c>
      <c r="D94" s="12" t="inlineStr">
        <is>
          <t>SERVICE</t>
        </is>
      </c>
      <c r="E94" s="12" t="inlineStr">
        <is>
          <t>Service and Support</t>
        </is>
      </c>
      <c r="F94" s="12" t="inlineStr">
        <is>
          <t>OPEX</t>
        </is>
      </c>
      <c r="G94" s="12" t="inlineStr">
        <is>
          <t>Operating Expenses</t>
        </is>
      </c>
      <c r="H94" s="12" t="inlineStr">
        <is>
          <t>SALARY</t>
        </is>
      </c>
      <c r="I94" s="12" t="inlineStr">
        <is>
          <t>Payroll</t>
        </is>
      </c>
      <c r="J94" s="13" t="n">
        <v>24619</v>
      </c>
    </row>
    <row r="95">
      <c r="A95" s="40" t="n">
        <v>46108</v>
      </c>
      <c r="B95" s="12" t="inlineStr">
        <is>
          <t>J41091</t>
        </is>
      </c>
      <c r="C95" s="12" t="n">
        <v>3</v>
      </c>
      <c r="D95" s="12" t="inlineStr">
        <is>
          <t>SALES</t>
        </is>
      </c>
      <c r="E95" s="12" t="inlineStr">
        <is>
          <t>Direct Sales</t>
        </is>
      </c>
      <c r="F95" s="12" t="inlineStr">
        <is>
          <t>OPEX</t>
        </is>
      </c>
      <c r="G95" s="12" t="inlineStr">
        <is>
          <t>Operating Expenses</t>
        </is>
      </c>
      <c r="H95" s="12" t="inlineStr">
        <is>
          <t>RENT</t>
        </is>
      </c>
      <c r="I95" s="12" t="inlineStr">
        <is>
          <t>Rent and Facilities</t>
        </is>
      </c>
      <c r="J95" s="13" t="n">
        <v>12610</v>
      </c>
    </row>
    <row r="96">
      <c r="A96" s="40" t="n">
        <v>46099</v>
      </c>
      <c r="B96" s="12" t="inlineStr">
        <is>
          <t>J41092</t>
        </is>
      </c>
      <c r="C96" s="12" t="n">
        <v>3</v>
      </c>
      <c r="D96" s="12" t="inlineStr">
        <is>
          <t>CHANNEL</t>
        </is>
      </c>
      <c r="E96" s="12" t="inlineStr">
        <is>
          <t>Distributor Channel</t>
        </is>
      </c>
      <c r="F96" s="12" t="inlineStr">
        <is>
          <t>OPEX</t>
        </is>
      </c>
      <c r="G96" s="12" t="inlineStr">
        <is>
          <t>Operating Expenses</t>
        </is>
      </c>
      <c r="H96" s="12" t="inlineStr">
        <is>
          <t>RENT</t>
        </is>
      </c>
      <c r="I96" s="12" t="inlineStr">
        <is>
          <t>Rent and Facilities</t>
        </is>
      </c>
      <c r="J96" s="13" t="n">
        <v>11433</v>
      </c>
    </row>
    <row r="97">
      <c r="A97" s="40" t="n">
        <v>46092</v>
      </c>
      <c r="B97" s="12" t="inlineStr">
        <is>
          <t>J41093</t>
        </is>
      </c>
      <c r="C97" s="12" t="n">
        <v>3</v>
      </c>
      <c r="D97" s="12" t="inlineStr">
        <is>
          <t>SERVICE</t>
        </is>
      </c>
      <c r="E97" s="12" t="inlineStr">
        <is>
          <t>Service and Support</t>
        </is>
      </c>
      <c r="F97" s="12" t="inlineStr">
        <is>
          <t>OPEX</t>
        </is>
      </c>
      <c r="G97" s="12" t="inlineStr">
        <is>
          <t>Operating Expenses</t>
        </is>
      </c>
      <c r="H97" s="12" t="inlineStr">
        <is>
          <t>RENT</t>
        </is>
      </c>
      <c r="I97" s="12" t="inlineStr">
        <is>
          <t>Rent and Facilities</t>
        </is>
      </c>
      <c r="J97" s="13" t="n">
        <v>12018</v>
      </c>
    </row>
    <row r="98">
      <c r="A98" s="40" t="n">
        <v>46084</v>
      </c>
      <c r="B98" s="12" t="inlineStr">
        <is>
          <t>J41094</t>
        </is>
      </c>
      <c r="C98" s="12" t="n">
        <v>3</v>
      </c>
      <c r="D98" s="12" t="inlineStr">
        <is>
          <t>SALES</t>
        </is>
      </c>
      <c r="E98" s="12" t="inlineStr">
        <is>
          <t>Direct Sales</t>
        </is>
      </c>
      <c r="F98" s="12" t="inlineStr">
        <is>
          <t>OPEX</t>
        </is>
      </c>
      <c r="G98" s="12" t="inlineStr">
        <is>
          <t>Operating Expenses</t>
        </is>
      </c>
      <c r="H98" s="12" t="inlineStr">
        <is>
          <t>VEHICLE</t>
        </is>
      </c>
      <c r="I98" s="12" t="inlineStr">
        <is>
          <t>Vehicle</t>
        </is>
      </c>
      <c r="J98" s="13" t="n">
        <v>12225</v>
      </c>
    </row>
    <row r="99">
      <c r="A99" s="40" t="n">
        <v>46089</v>
      </c>
      <c r="B99" s="12" t="inlineStr">
        <is>
          <t>J41095</t>
        </is>
      </c>
      <c r="C99" s="12" t="n">
        <v>3</v>
      </c>
      <c r="D99" s="12" t="inlineStr">
        <is>
          <t>CHANNEL</t>
        </is>
      </c>
      <c r="E99" s="12" t="inlineStr">
        <is>
          <t>Distributor Channel</t>
        </is>
      </c>
      <c r="F99" s="12" t="inlineStr">
        <is>
          <t>OPEX</t>
        </is>
      </c>
      <c r="G99" s="12" t="inlineStr">
        <is>
          <t>Operating Expenses</t>
        </is>
      </c>
      <c r="H99" s="12" t="inlineStr">
        <is>
          <t>VEHICLE</t>
        </is>
      </c>
      <c r="I99" s="12" t="inlineStr">
        <is>
          <t>Vehicle</t>
        </is>
      </c>
      <c r="J99" s="13" t="n">
        <v>6858</v>
      </c>
    </row>
    <row r="100">
      <c r="A100" s="40" t="n">
        <v>46084</v>
      </c>
      <c r="B100" s="12" t="inlineStr">
        <is>
          <t>J41096</t>
        </is>
      </c>
      <c r="C100" s="12" t="n">
        <v>3</v>
      </c>
      <c r="D100" s="12" t="inlineStr">
        <is>
          <t>SERVICE</t>
        </is>
      </c>
      <c r="E100" s="12" t="inlineStr">
        <is>
          <t>Service and Support</t>
        </is>
      </c>
      <c r="F100" s="12" t="inlineStr">
        <is>
          <t>OPEX</t>
        </is>
      </c>
      <c r="G100" s="12" t="inlineStr">
        <is>
          <t>Operating Expenses</t>
        </is>
      </c>
      <c r="H100" s="12" t="inlineStr">
        <is>
          <t>VEHICLE</t>
        </is>
      </c>
      <c r="I100" s="12" t="inlineStr">
        <is>
          <t>Vehicle</t>
        </is>
      </c>
      <c r="J100" s="13" t="n">
        <v>3410</v>
      </c>
    </row>
    <row r="101">
      <c r="A101" s="40" t="n">
        <v>46107</v>
      </c>
      <c r="B101" s="12" t="inlineStr">
        <is>
          <t>J41097</t>
        </is>
      </c>
      <c r="C101" s="12" t="n">
        <v>3</v>
      </c>
      <c r="D101" s="12" t="inlineStr">
        <is>
          <t>SALES</t>
        </is>
      </c>
      <c r="E101" s="12" t="inlineStr">
        <is>
          <t>Direct Sales</t>
        </is>
      </c>
      <c r="F101" s="12" t="inlineStr">
        <is>
          <t>OPEX</t>
        </is>
      </c>
      <c r="G101" s="12" t="inlineStr">
        <is>
          <t>Operating Expenses</t>
        </is>
      </c>
      <c r="H101" s="12" t="inlineStr">
        <is>
          <t>MARKETING</t>
        </is>
      </c>
      <c r="I101" s="12" t="inlineStr">
        <is>
          <t>Marketing</t>
        </is>
      </c>
      <c r="J101" s="13" t="n">
        <v>19125</v>
      </c>
    </row>
    <row r="102">
      <c r="A102" s="40" t="n">
        <v>46091</v>
      </c>
      <c r="B102" s="12" t="inlineStr">
        <is>
          <t>J41098</t>
        </is>
      </c>
      <c r="C102" s="12" t="n">
        <v>3</v>
      </c>
      <c r="D102" s="12" t="inlineStr">
        <is>
          <t>CHANNEL</t>
        </is>
      </c>
      <c r="E102" s="12" t="inlineStr">
        <is>
          <t>Distributor Channel</t>
        </is>
      </c>
      <c r="F102" s="12" t="inlineStr">
        <is>
          <t>OPEX</t>
        </is>
      </c>
      <c r="G102" s="12" t="inlineStr">
        <is>
          <t>Operating Expenses</t>
        </is>
      </c>
      <c r="H102" s="12" t="inlineStr">
        <is>
          <t>MARKETING</t>
        </is>
      </c>
      <c r="I102" s="12" t="inlineStr">
        <is>
          <t>Marketing</t>
        </is>
      </c>
      <c r="J102" s="13" t="n">
        <v>11546</v>
      </c>
    </row>
    <row r="103">
      <c r="A103" s="40" t="n">
        <v>46100</v>
      </c>
      <c r="B103" s="12" t="inlineStr">
        <is>
          <t>J41099</t>
        </is>
      </c>
      <c r="C103" s="12" t="n">
        <v>3</v>
      </c>
      <c r="D103" s="12" t="inlineStr">
        <is>
          <t>SERVICE</t>
        </is>
      </c>
      <c r="E103" s="12" t="inlineStr">
        <is>
          <t>Service and Support</t>
        </is>
      </c>
      <c r="F103" s="12" t="inlineStr">
        <is>
          <t>OPEX</t>
        </is>
      </c>
      <c r="G103" s="12" t="inlineStr">
        <is>
          <t>Operating Expenses</t>
        </is>
      </c>
      <c r="H103" s="12" t="inlineStr">
        <is>
          <t>MARKETING</t>
        </is>
      </c>
      <c r="I103" s="12" t="inlineStr">
        <is>
          <t>Marketing</t>
        </is>
      </c>
      <c r="J103" s="13" t="n">
        <v>6187</v>
      </c>
    </row>
    <row r="104">
      <c r="A104" s="40" t="n">
        <v>46103</v>
      </c>
      <c r="B104" s="12" t="inlineStr">
        <is>
          <t>J41100</t>
        </is>
      </c>
      <c r="C104" s="12" t="n">
        <v>3</v>
      </c>
      <c r="D104" s="12" t="inlineStr">
        <is>
          <t>SALES</t>
        </is>
      </c>
      <c r="E104" s="12" t="inlineStr">
        <is>
          <t>Direct Sales</t>
        </is>
      </c>
      <c r="F104" s="12" t="inlineStr">
        <is>
          <t>OPEX</t>
        </is>
      </c>
      <c r="G104" s="12" t="inlineStr">
        <is>
          <t>Operating Expenses</t>
        </is>
      </c>
      <c r="H104" s="12" t="inlineStr">
        <is>
          <t>ENTERTAIN</t>
        </is>
      </c>
      <c r="I104" s="12" t="inlineStr">
        <is>
          <t>Entertainment</t>
        </is>
      </c>
      <c r="J104" s="13" t="n">
        <v>3111</v>
      </c>
    </row>
    <row r="105">
      <c r="A105" s="40" t="n">
        <v>46092</v>
      </c>
      <c r="B105" s="12" t="inlineStr">
        <is>
          <t>J41101</t>
        </is>
      </c>
      <c r="C105" s="12" t="n">
        <v>3</v>
      </c>
      <c r="D105" s="12" t="inlineStr">
        <is>
          <t>CHANNEL</t>
        </is>
      </c>
      <c r="E105" s="12" t="inlineStr">
        <is>
          <t>Distributor Channel</t>
        </is>
      </c>
      <c r="F105" s="12" t="inlineStr">
        <is>
          <t>OPEX</t>
        </is>
      </c>
      <c r="G105" s="12" t="inlineStr">
        <is>
          <t>Operating Expenses</t>
        </is>
      </c>
      <c r="H105" s="12" t="inlineStr">
        <is>
          <t>ENTERTAIN</t>
        </is>
      </c>
      <c r="I105" s="12" t="inlineStr">
        <is>
          <t>Entertainment</t>
        </is>
      </c>
      <c r="J105" s="13" t="n">
        <v>1542</v>
      </c>
    </row>
    <row r="106">
      <c r="A106" s="40" t="n">
        <v>46097</v>
      </c>
      <c r="B106" s="12" t="inlineStr">
        <is>
          <t>J41102</t>
        </is>
      </c>
      <c r="C106" s="12" t="n">
        <v>3</v>
      </c>
      <c r="D106" s="12" t="inlineStr">
        <is>
          <t>SERVICE</t>
        </is>
      </c>
      <c r="E106" s="12" t="inlineStr">
        <is>
          <t>Service and Support</t>
        </is>
      </c>
      <c r="F106" s="12" t="inlineStr">
        <is>
          <t>OPEX</t>
        </is>
      </c>
      <c r="G106" s="12" t="inlineStr">
        <is>
          <t>Operating Expenses</t>
        </is>
      </c>
      <c r="H106" s="12" t="inlineStr">
        <is>
          <t>ENTERTAIN</t>
        </is>
      </c>
      <c r="I106" s="12" t="inlineStr">
        <is>
          <t>Entertainment</t>
        </is>
      </c>
      <c r="J106" s="13" t="n">
        <v>736</v>
      </c>
    </row>
    <row r="107">
      <c r="A107" s="40" t="n">
        <v>46098</v>
      </c>
      <c r="B107" s="12" t="inlineStr">
        <is>
          <t>J41103</t>
        </is>
      </c>
      <c r="C107" s="12" t="n">
        <v>3</v>
      </c>
      <c r="D107" s="12" t="inlineStr">
        <is>
          <t>SALES</t>
        </is>
      </c>
      <c r="E107" s="12" t="inlineStr">
        <is>
          <t>Direct Sales</t>
        </is>
      </c>
      <c r="F107" s="12" t="inlineStr">
        <is>
          <t>OPEX</t>
        </is>
      </c>
      <c r="G107" s="12" t="inlineStr">
        <is>
          <t>Operating Expenses</t>
        </is>
      </c>
      <c r="H107" s="12" t="inlineStr">
        <is>
          <t>OFFICE</t>
        </is>
      </c>
      <c r="I107" s="12" t="inlineStr">
        <is>
          <t>Office</t>
        </is>
      </c>
      <c r="J107" s="13" t="n">
        <v>6045</v>
      </c>
    </row>
    <row r="108">
      <c r="A108" s="40" t="n">
        <v>46084</v>
      </c>
      <c r="B108" s="12" t="inlineStr">
        <is>
          <t>J41104</t>
        </is>
      </c>
      <c r="C108" s="12" t="n">
        <v>3</v>
      </c>
      <c r="D108" s="12" t="inlineStr">
        <is>
          <t>CHANNEL</t>
        </is>
      </c>
      <c r="E108" s="12" t="inlineStr">
        <is>
          <t>Distributor Channel</t>
        </is>
      </c>
      <c r="F108" s="12" t="inlineStr">
        <is>
          <t>OPEX</t>
        </is>
      </c>
      <c r="G108" s="12" t="inlineStr">
        <is>
          <t>Operating Expenses</t>
        </is>
      </c>
      <c r="H108" s="12" t="inlineStr">
        <is>
          <t>OFFICE</t>
        </is>
      </c>
      <c r="I108" s="12" t="inlineStr">
        <is>
          <t>Office</t>
        </is>
      </c>
      <c r="J108" s="13" t="n">
        <v>3472</v>
      </c>
    </row>
    <row r="109">
      <c r="A109" s="40" t="n">
        <v>46097</v>
      </c>
      <c r="B109" s="12" t="inlineStr">
        <is>
          <t>J41105</t>
        </is>
      </c>
      <c r="C109" s="12" t="n">
        <v>3</v>
      </c>
      <c r="D109" s="12" t="inlineStr">
        <is>
          <t>SERVICE</t>
        </is>
      </c>
      <c r="E109" s="12" t="inlineStr">
        <is>
          <t>Service and Support</t>
        </is>
      </c>
      <c r="F109" s="12" t="inlineStr">
        <is>
          <t>OPEX</t>
        </is>
      </c>
      <c r="G109" s="12" t="inlineStr">
        <is>
          <t>Operating Expenses</t>
        </is>
      </c>
      <c r="H109" s="12" t="inlineStr">
        <is>
          <t>OFFICE</t>
        </is>
      </c>
      <c r="I109" s="12" t="inlineStr">
        <is>
          <t>Office</t>
        </is>
      </c>
      <c r="J109" s="13" t="n">
        <v>1625</v>
      </c>
    </row>
    <row r="110">
      <c r="A110" s="40" t="n">
        <v>46086</v>
      </c>
      <c r="B110" s="12" t="inlineStr">
        <is>
          <t>J41106</t>
        </is>
      </c>
      <c r="C110" s="12" t="n">
        <v>3</v>
      </c>
      <c r="D110" s="12" t="inlineStr">
        <is>
          <t>SALES</t>
        </is>
      </c>
      <c r="E110" s="12" t="inlineStr">
        <is>
          <t>Direct Sales</t>
        </is>
      </c>
      <c r="F110" s="12" t="inlineStr">
        <is>
          <t>OPEX</t>
        </is>
      </c>
      <c r="G110" s="12" t="inlineStr">
        <is>
          <t>Operating Expenses</t>
        </is>
      </c>
      <c r="H110" s="12" t="inlineStr">
        <is>
          <t>MERCHANT</t>
        </is>
      </c>
      <c r="I110" s="12" t="inlineStr">
        <is>
          <t>Merchant Fees</t>
        </is>
      </c>
      <c r="J110" s="13" t="n">
        <v>7516</v>
      </c>
    </row>
    <row r="111">
      <c r="A111" s="40" t="n">
        <v>46091</v>
      </c>
      <c r="B111" s="12" t="inlineStr">
        <is>
          <t>J41107</t>
        </is>
      </c>
      <c r="C111" s="12" t="n">
        <v>3</v>
      </c>
      <c r="D111" s="12" t="inlineStr">
        <is>
          <t>CHANNEL</t>
        </is>
      </c>
      <c r="E111" s="12" t="inlineStr">
        <is>
          <t>Distributor Channel</t>
        </is>
      </c>
      <c r="F111" s="12" t="inlineStr">
        <is>
          <t>OPEX</t>
        </is>
      </c>
      <c r="G111" s="12" t="inlineStr">
        <is>
          <t>Operating Expenses</t>
        </is>
      </c>
      <c r="H111" s="12" t="inlineStr">
        <is>
          <t>MERCHANT</t>
        </is>
      </c>
      <c r="I111" s="12" t="inlineStr">
        <is>
          <t>Merchant Fees</t>
        </is>
      </c>
      <c r="J111" s="13" t="n">
        <v>4182</v>
      </c>
    </row>
    <row r="112">
      <c r="A112" s="40" t="n">
        <v>46104</v>
      </c>
      <c r="B112" s="12" t="inlineStr">
        <is>
          <t>J41108</t>
        </is>
      </c>
      <c r="C112" s="12" t="n">
        <v>3</v>
      </c>
      <c r="D112" s="12" t="inlineStr">
        <is>
          <t>SERVICE</t>
        </is>
      </c>
      <c r="E112" s="12" t="inlineStr">
        <is>
          <t>Service and Support</t>
        </is>
      </c>
      <c r="F112" s="12" t="inlineStr">
        <is>
          <t>OPEX</t>
        </is>
      </c>
      <c r="G112" s="12" t="inlineStr">
        <is>
          <t>Operating Expenses</t>
        </is>
      </c>
      <c r="H112" s="12" t="inlineStr">
        <is>
          <t>MERCHANT</t>
        </is>
      </c>
      <c r="I112" s="12" t="inlineStr">
        <is>
          <t>Merchant Fees</t>
        </is>
      </c>
      <c r="J112" s="13" t="n">
        <v>2065</v>
      </c>
    </row>
    <row r="113">
      <c r="A113" s="40" t="n">
        <v>46102</v>
      </c>
      <c r="B113" s="12" t="inlineStr">
        <is>
          <t>J41109</t>
        </is>
      </c>
      <c r="C113" s="12" t="n">
        <v>3</v>
      </c>
      <c r="D113" s="12" t="inlineStr">
        <is>
          <t>SALES</t>
        </is>
      </c>
      <c r="E113" s="12" t="inlineStr">
        <is>
          <t>Direct Sales</t>
        </is>
      </c>
      <c r="F113" s="12" t="inlineStr">
        <is>
          <t>OPEX</t>
        </is>
      </c>
      <c r="G113" s="12" t="inlineStr">
        <is>
          <t>Operating Expenses</t>
        </is>
      </c>
      <c r="H113" s="12" t="inlineStr">
        <is>
          <t>PROFSVC</t>
        </is>
      </c>
      <c r="I113" s="12" t="inlineStr">
        <is>
          <t>Professional Fees</t>
        </is>
      </c>
      <c r="J113" s="13" t="n">
        <v>8073</v>
      </c>
    </row>
    <row r="114">
      <c r="A114" s="40" t="n">
        <v>46092</v>
      </c>
      <c r="B114" s="12" t="inlineStr">
        <is>
          <t>J41110</t>
        </is>
      </c>
      <c r="C114" s="12" t="n">
        <v>3</v>
      </c>
      <c r="D114" s="12" t="inlineStr">
        <is>
          <t>CHANNEL</t>
        </is>
      </c>
      <c r="E114" s="12" t="inlineStr">
        <is>
          <t>Distributor Channel</t>
        </is>
      </c>
      <c r="F114" s="12" t="inlineStr">
        <is>
          <t>OPEX</t>
        </is>
      </c>
      <c r="G114" s="12" t="inlineStr">
        <is>
          <t>Operating Expenses</t>
        </is>
      </c>
      <c r="H114" s="12" t="inlineStr">
        <is>
          <t>PROFSVC</t>
        </is>
      </c>
      <c r="I114" s="12" t="inlineStr">
        <is>
          <t>Professional Fees</t>
        </is>
      </c>
      <c r="J114" s="13" t="n">
        <v>4209</v>
      </c>
    </row>
    <row r="115">
      <c r="A115" s="40" t="n">
        <v>46108</v>
      </c>
      <c r="B115" s="12" t="inlineStr">
        <is>
          <t>J41111</t>
        </is>
      </c>
      <c r="C115" s="12" t="n">
        <v>3</v>
      </c>
      <c r="D115" s="12" t="inlineStr">
        <is>
          <t>SERVICE</t>
        </is>
      </c>
      <c r="E115" s="12" t="inlineStr">
        <is>
          <t>Service and Support</t>
        </is>
      </c>
      <c r="F115" s="12" t="inlineStr">
        <is>
          <t>OPEX</t>
        </is>
      </c>
      <c r="G115" s="12" t="inlineStr">
        <is>
          <t>Operating Expenses</t>
        </is>
      </c>
      <c r="H115" s="12" t="inlineStr">
        <is>
          <t>PROFSVC</t>
        </is>
      </c>
      <c r="I115" s="12" t="inlineStr">
        <is>
          <t>Professional Fees</t>
        </is>
      </c>
      <c r="J115" s="13" t="n">
        <v>2357</v>
      </c>
    </row>
    <row r="116">
      <c r="A116" s="40" t="n">
        <v>46101</v>
      </c>
      <c r="B116" s="12" t="inlineStr">
        <is>
          <t>J41112</t>
        </is>
      </c>
      <c r="C116" s="12" t="n">
        <v>3</v>
      </c>
      <c r="D116" s="12" t="inlineStr">
        <is>
          <t>SALES</t>
        </is>
      </c>
      <c r="E116" s="12" t="inlineStr">
        <is>
          <t>Direct Sales</t>
        </is>
      </c>
      <c r="F116" s="12" t="inlineStr">
        <is>
          <t>OPEX</t>
        </is>
      </c>
      <c r="G116" s="12" t="inlineStr">
        <is>
          <t>Operating Expenses</t>
        </is>
      </c>
      <c r="H116" s="12" t="inlineStr">
        <is>
          <t>DEPREC</t>
        </is>
      </c>
      <c r="I116" s="12" t="inlineStr">
        <is>
          <t>Depreciation</t>
        </is>
      </c>
      <c r="J116" s="13" t="n">
        <v>4832</v>
      </c>
    </row>
    <row r="117">
      <c r="A117" s="40" t="n">
        <v>46105</v>
      </c>
      <c r="B117" s="12" t="inlineStr">
        <is>
          <t>J41113</t>
        </is>
      </c>
      <c r="C117" s="12" t="n">
        <v>3</v>
      </c>
      <c r="D117" s="12" t="inlineStr">
        <is>
          <t>CHANNEL</t>
        </is>
      </c>
      <c r="E117" s="12" t="inlineStr">
        <is>
          <t>Distributor Channel</t>
        </is>
      </c>
      <c r="F117" s="12" t="inlineStr">
        <is>
          <t>OPEX</t>
        </is>
      </c>
      <c r="G117" s="12" t="inlineStr">
        <is>
          <t>Operating Expenses</t>
        </is>
      </c>
      <c r="H117" s="12" t="inlineStr">
        <is>
          <t>DEPREC</t>
        </is>
      </c>
      <c r="I117" s="12" t="inlineStr">
        <is>
          <t>Depreciation</t>
        </is>
      </c>
      <c r="J117" s="13" t="n">
        <v>5261</v>
      </c>
    </row>
    <row r="118">
      <c r="A118" s="40" t="n">
        <v>46103</v>
      </c>
      <c r="B118" s="12" t="inlineStr">
        <is>
          <t>J41114</t>
        </is>
      </c>
      <c r="C118" s="12" t="n">
        <v>3</v>
      </c>
      <c r="D118" s="12" t="inlineStr">
        <is>
          <t>SERVICE</t>
        </is>
      </c>
      <c r="E118" s="12" t="inlineStr">
        <is>
          <t>Service and Support</t>
        </is>
      </c>
      <c r="F118" s="12" t="inlineStr">
        <is>
          <t>OPEX</t>
        </is>
      </c>
      <c r="G118" s="12" t="inlineStr">
        <is>
          <t>Operating Expenses</t>
        </is>
      </c>
      <c r="H118" s="12" t="inlineStr">
        <is>
          <t>DEPREC</t>
        </is>
      </c>
      <c r="I118" s="12" t="inlineStr">
        <is>
          <t>Depreciation</t>
        </is>
      </c>
      <c r="J118" s="13" t="n">
        <v>5154</v>
      </c>
    </row>
    <row r="119">
      <c r="A119" s="40" t="n">
        <v>46091</v>
      </c>
      <c r="B119" s="12" t="inlineStr">
        <is>
          <t>J41115</t>
        </is>
      </c>
      <c r="C119" s="12" t="n">
        <v>3</v>
      </c>
      <c r="D119" s="12" t="inlineStr">
        <is>
          <t>SALES</t>
        </is>
      </c>
      <c r="E119" s="12" t="inlineStr">
        <is>
          <t>Direct Sales</t>
        </is>
      </c>
      <c r="F119" s="12" t="inlineStr">
        <is>
          <t>OPEX</t>
        </is>
      </c>
      <c r="G119" s="12" t="inlineStr">
        <is>
          <t>Operating Expenses</t>
        </is>
      </c>
      <c r="H119" s="12" t="inlineStr">
        <is>
          <t>FINANCE</t>
        </is>
      </c>
      <c r="I119" s="12" t="inlineStr">
        <is>
          <t>Finance Costs</t>
        </is>
      </c>
      <c r="J119" s="13" t="n">
        <v>2935</v>
      </c>
    </row>
    <row r="120">
      <c r="A120" s="40" t="n">
        <v>46085</v>
      </c>
      <c r="B120" s="12" t="inlineStr">
        <is>
          <t>J41116</t>
        </is>
      </c>
      <c r="C120" s="12" t="n">
        <v>3</v>
      </c>
      <c r="D120" s="12" t="inlineStr">
        <is>
          <t>CHANNEL</t>
        </is>
      </c>
      <c r="E120" s="12" t="inlineStr">
        <is>
          <t>Distributor Channel</t>
        </is>
      </c>
      <c r="F120" s="12" t="inlineStr">
        <is>
          <t>OPEX</t>
        </is>
      </c>
      <c r="G120" s="12" t="inlineStr">
        <is>
          <t>Operating Expenses</t>
        </is>
      </c>
      <c r="H120" s="12" t="inlineStr">
        <is>
          <t>FINANCE</t>
        </is>
      </c>
      <c r="I120" s="12" t="inlineStr">
        <is>
          <t>Finance Costs</t>
        </is>
      </c>
      <c r="J120" s="13" t="n">
        <v>2711</v>
      </c>
    </row>
    <row r="121">
      <c r="A121" s="40" t="n">
        <v>46091</v>
      </c>
      <c r="B121" s="12" t="inlineStr">
        <is>
          <t>J41117</t>
        </is>
      </c>
      <c r="C121" s="12" t="n">
        <v>3</v>
      </c>
      <c r="D121" s="12" t="inlineStr">
        <is>
          <t>SERVICE</t>
        </is>
      </c>
      <c r="E121" s="12" t="inlineStr">
        <is>
          <t>Service and Support</t>
        </is>
      </c>
      <c r="F121" s="12" t="inlineStr">
        <is>
          <t>OPEX</t>
        </is>
      </c>
      <c r="G121" s="12" t="inlineStr">
        <is>
          <t>Operating Expenses</t>
        </is>
      </c>
      <c r="H121" s="12" t="inlineStr">
        <is>
          <t>FINANCE</t>
        </is>
      </c>
      <c r="I121" s="12" t="inlineStr">
        <is>
          <t>Finance Costs</t>
        </is>
      </c>
      <c r="J121" s="13" t="n">
        <v>2838</v>
      </c>
    </row>
    <row r="122">
      <c r="A122" s="40" t="n">
        <v>46132</v>
      </c>
      <c r="B122" s="12" t="inlineStr">
        <is>
          <t>J41118</t>
        </is>
      </c>
      <c r="C122" s="12" t="n">
        <v>4</v>
      </c>
      <c r="D122" s="12" t="inlineStr">
        <is>
          <t>SALES</t>
        </is>
      </c>
      <c r="E122" s="12" t="inlineStr">
        <is>
          <t>Direct Sales</t>
        </is>
      </c>
      <c r="F122" s="12" t="inlineStr">
        <is>
          <t>REVENUE</t>
        </is>
      </c>
      <c r="G122" s="12" t="inlineStr">
        <is>
          <t>Revenue</t>
        </is>
      </c>
      <c r="H122" s="12" t="inlineStr">
        <is>
          <t>REVENUE_PROD</t>
        </is>
      </c>
      <c r="I122" s="12" t="inlineStr">
        <is>
          <t>Product Revenue</t>
        </is>
      </c>
      <c r="J122" s="13" t="n">
        <v>560613</v>
      </c>
    </row>
    <row r="123">
      <c r="A123" s="40" t="n">
        <v>46136</v>
      </c>
      <c r="B123" s="12" t="inlineStr">
        <is>
          <t>J41119</t>
        </is>
      </c>
      <c r="C123" s="12" t="n">
        <v>4</v>
      </c>
      <c r="D123" s="12" t="inlineStr">
        <is>
          <t>CHANNEL</t>
        </is>
      </c>
      <c r="E123" s="12" t="inlineStr">
        <is>
          <t>Distributor Channel</t>
        </is>
      </c>
      <c r="F123" s="12" t="inlineStr">
        <is>
          <t>REVENUE</t>
        </is>
      </c>
      <c r="G123" s="12" t="inlineStr">
        <is>
          <t>Revenue</t>
        </is>
      </c>
      <c r="H123" s="12" t="inlineStr">
        <is>
          <t>REVENUE_PROD</t>
        </is>
      </c>
      <c r="I123" s="12" t="inlineStr">
        <is>
          <t>Product Revenue</t>
        </is>
      </c>
      <c r="J123" s="13" t="n">
        <v>297381</v>
      </c>
    </row>
    <row r="124">
      <c r="A124" s="40" t="n">
        <v>46118</v>
      </c>
      <c r="B124" s="12" t="inlineStr">
        <is>
          <t>J41120</t>
        </is>
      </c>
      <c r="C124" s="12" t="n">
        <v>4</v>
      </c>
      <c r="D124" s="12" t="inlineStr">
        <is>
          <t>SERVICE</t>
        </is>
      </c>
      <c r="E124" s="12" t="inlineStr">
        <is>
          <t>Service and Support</t>
        </is>
      </c>
      <c r="F124" s="12" t="inlineStr">
        <is>
          <t>REVENUE</t>
        </is>
      </c>
      <c r="G124" s="12" t="inlineStr">
        <is>
          <t>Revenue</t>
        </is>
      </c>
      <c r="H124" s="12" t="inlineStr">
        <is>
          <t>REVENUE_PROD</t>
        </is>
      </c>
      <c r="I124" s="12" t="inlineStr">
        <is>
          <t>Product Revenue</t>
        </is>
      </c>
      <c r="J124" s="13" t="n">
        <v>153770</v>
      </c>
    </row>
    <row r="125">
      <c r="A125" s="40" t="n">
        <v>46120</v>
      </c>
      <c r="B125" s="12" t="inlineStr">
        <is>
          <t>J41121</t>
        </is>
      </c>
      <c r="C125" s="12" t="n">
        <v>4</v>
      </c>
      <c r="D125" s="12" t="inlineStr">
        <is>
          <t>SALES</t>
        </is>
      </c>
      <c r="E125" s="12" t="inlineStr">
        <is>
          <t>Direct Sales</t>
        </is>
      </c>
      <c r="F125" s="12" t="inlineStr">
        <is>
          <t>REVENUE</t>
        </is>
      </c>
      <c r="G125" s="12" t="inlineStr">
        <is>
          <t>Revenue</t>
        </is>
      </c>
      <c r="H125" s="12" t="inlineStr">
        <is>
          <t>REVENUE_SVC</t>
        </is>
      </c>
      <c r="I125" s="12" t="inlineStr">
        <is>
          <t>Service Revenue</t>
        </is>
      </c>
      <c r="J125" s="13" t="n">
        <v>4607</v>
      </c>
    </row>
    <row r="126">
      <c r="A126" s="40" t="n">
        <v>46126</v>
      </c>
      <c r="B126" s="12" t="inlineStr">
        <is>
          <t>J41122</t>
        </is>
      </c>
      <c r="C126" s="12" t="n">
        <v>4</v>
      </c>
      <c r="D126" s="12" t="inlineStr">
        <is>
          <t>CHANNEL</t>
        </is>
      </c>
      <c r="E126" s="12" t="inlineStr">
        <is>
          <t>Distributor Channel</t>
        </is>
      </c>
      <c r="F126" s="12" t="inlineStr">
        <is>
          <t>REVENUE</t>
        </is>
      </c>
      <c r="G126" s="12" t="inlineStr">
        <is>
          <t>Revenue</t>
        </is>
      </c>
      <c r="H126" s="12" t="inlineStr">
        <is>
          <t>REVENUE_SVC</t>
        </is>
      </c>
      <c r="I126" s="12" t="inlineStr">
        <is>
          <t>Service Revenue</t>
        </is>
      </c>
      <c r="J126" s="13" t="n">
        <v>4146</v>
      </c>
    </row>
    <row r="127">
      <c r="A127" s="40" t="n">
        <v>46118</v>
      </c>
      <c r="B127" s="12" t="inlineStr">
        <is>
          <t>J41123</t>
        </is>
      </c>
      <c r="C127" s="12" t="n">
        <v>4</v>
      </c>
      <c r="D127" s="12" t="inlineStr">
        <is>
          <t>SERVICE</t>
        </is>
      </c>
      <c r="E127" s="12" t="inlineStr">
        <is>
          <t>Service and Support</t>
        </is>
      </c>
      <c r="F127" s="12" t="inlineStr">
        <is>
          <t>REVENUE</t>
        </is>
      </c>
      <c r="G127" s="12" t="inlineStr">
        <is>
          <t>Revenue</t>
        </is>
      </c>
      <c r="H127" s="12" t="inlineStr">
        <is>
          <t>REVENUE_SVC</t>
        </is>
      </c>
      <c r="I127" s="12" t="inlineStr">
        <is>
          <t>Service Revenue</t>
        </is>
      </c>
      <c r="J127" s="13" t="n">
        <v>74112</v>
      </c>
    </row>
    <row r="128">
      <c r="A128" s="40" t="n">
        <v>46135</v>
      </c>
      <c r="B128" s="12" t="inlineStr">
        <is>
          <t>J41124</t>
        </is>
      </c>
      <c r="C128" s="12" t="n">
        <v>4</v>
      </c>
      <c r="D128" s="12" t="inlineStr">
        <is>
          <t>SALES</t>
        </is>
      </c>
      <c r="E128" s="12" t="inlineStr">
        <is>
          <t>Direct Sales</t>
        </is>
      </c>
      <c r="F128" s="12" t="inlineStr">
        <is>
          <t>COGS</t>
        </is>
      </c>
      <c r="G128" s="12" t="inlineStr">
        <is>
          <t>Cost of Sales</t>
        </is>
      </c>
      <c r="H128" s="12" t="inlineStr">
        <is>
          <t>COGS</t>
        </is>
      </c>
      <c r="I128" s="12" t="inlineStr">
        <is>
          <t>Cost of Goods Sold</t>
        </is>
      </c>
      <c r="J128" s="13" t="n">
        <v>384400</v>
      </c>
    </row>
    <row r="129">
      <c r="A129" s="40" t="n">
        <v>46137</v>
      </c>
      <c r="B129" s="12" t="inlineStr">
        <is>
          <t>J41125</t>
        </is>
      </c>
      <c r="C129" s="12" t="n">
        <v>4</v>
      </c>
      <c r="D129" s="12" t="inlineStr">
        <is>
          <t>CHANNEL</t>
        </is>
      </c>
      <c r="E129" s="12" t="inlineStr">
        <is>
          <t>Distributor Channel</t>
        </is>
      </c>
      <c r="F129" s="12" t="inlineStr">
        <is>
          <t>COGS</t>
        </is>
      </c>
      <c r="G129" s="12" t="inlineStr">
        <is>
          <t>Cost of Sales</t>
        </is>
      </c>
      <c r="H129" s="12" t="inlineStr">
        <is>
          <t>COGS</t>
        </is>
      </c>
      <c r="I129" s="12" t="inlineStr">
        <is>
          <t>Cost of Goods Sold</t>
        </is>
      </c>
      <c r="J129" s="13" t="n">
        <v>221223</v>
      </c>
    </row>
    <row r="130">
      <c r="A130" s="40" t="n">
        <v>46117</v>
      </c>
      <c r="B130" s="12" t="inlineStr">
        <is>
          <t>J41126</t>
        </is>
      </c>
      <c r="C130" s="12" t="n">
        <v>4</v>
      </c>
      <c r="D130" s="12" t="inlineStr">
        <is>
          <t>SERVICE</t>
        </is>
      </c>
      <c r="E130" s="12" t="inlineStr">
        <is>
          <t>Service and Support</t>
        </is>
      </c>
      <c r="F130" s="12" t="inlineStr">
        <is>
          <t>COGS</t>
        </is>
      </c>
      <c r="G130" s="12" t="inlineStr">
        <is>
          <t>Cost of Sales</t>
        </is>
      </c>
      <c r="H130" s="12" t="inlineStr">
        <is>
          <t>COGS</t>
        </is>
      </c>
      <c r="I130" s="12" t="inlineStr">
        <is>
          <t>Cost of Goods Sold</t>
        </is>
      </c>
      <c r="J130" s="13" t="n">
        <v>105043</v>
      </c>
    </row>
    <row r="131">
      <c r="A131" s="40" t="n">
        <v>46114</v>
      </c>
      <c r="B131" s="12" t="inlineStr">
        <is>
          <t>J41127</t>
        </is>
      </c>
      <c r="C131" s="12" t="n">
        <v>4</v>
      </c>
      <c r="D131" s="12" t="inlineStr">
        <is>
          <t>SALES</t>
        </is>
      </c>
      <c r="E131" s="12" t="inlineStr">
        <is>
          <t>Direct Sales</t>
        </is>
      </c>
      <c r="F131" s="12" t="inlineStr">
        <is>
          <t>OPEX</t>
        </is>
      </c>
      <c r="G131" s="12" t="inlineStr">
        <is>
          <t>Operating Expenses</t>
        </is>
      </c>
      <c r="H131" s="12" t="inlineStr">
        <is>
          <t>SALARY</t>
        </is>
      </c>
      <c r="I131" s="12" t="inlineStr">
        <is>
          <t>Payroll</t>
        </is>
      </c>
      <c r="J131" s="13" t="n">
        <v>91784</v>
      </c>
    </row>
    <row r="132">
      <c r="A132" s="40" t="n">
        <v>46124</v>
      </c>
      <c r="B132" s="12" t="inlineStr">
        <is>
          <t>J41128</t>
        </is>
      </c>
      <c r="C132" s="12" t="n">
        <v>4</v>
      </c>
      <c r="D132" s="12" t="inlineStr">
        <is>
          <t>CHANNEL</t>
        </is>
      </c>
      <c r="E132" s="12" t="inlineStr">
        <is>
          <t>Distributor Channel</t>
        </is>
      </c>
      <c r="F132" s="12" t="inlineStr">
        <is>
          <t>OPEX</t>
        </is>
      </c>
      <c r="G132" s="12" t="inlineStr">
        <is>
          <t>Operating Expenses</t>
        </is>
      </c>
      <c r="H132" s="12" t="inlineStr">
        <is>
          <t>SALARY</t>
        </is>
      </c>
      <c r="I132" s="12" t="inlineStr">
        <is>
          <t>Payroll</t>
        </is>
      </c>
      <c r="J132" s="13" t="n">
        <v>46294</v>
      </c>
    </row>
    <row r="133">
      <c r="A133" s="40" t="n">
        <v>46114</v>
      </c>
      <c r="B133" s="12" t="inlineStr">
        <is>
          <t>J41129</t>
        </is>
      </c>
      <c r="C133" s="12" t="n">
        <v>4</v>
      </c>
      <c r="D133" s="12" t="inlineStr">
        <is>
          <t>SERVICE</t>
        </is>
      </c>
      <c r="E133" s="12" t="inlineStr">
        <is>
          <t>Service and Support</t>
        </is>
      </c>
      <c r="F133" s="12" t="inlineStr">
        <is>
          <t>OPEX</t>
        </is>
      </c>
      <c r="G133" s="12" t="inlineStr">
        <is>
          <t>Operating Expenses</t>
        </is>
      </c>
      <c r="H133" s="12" t="inlineStr">
        <is>
          <t>SALARY</t>
        </is>
      </c>
      <c r="I133" s="12" t="inlineStr">
        <is>
          <t>Payroll</t>
        </is>
      </c>
      <c r="J133" s="13" t="n">
        <v>22377</v>
      </c>
    </row>
    <row r="134">
      <c r="A134" s="40" t="n">
        <v>46134</v>
      </c>
      <c r="B134" s="12" t="inlineStr">
        <is>
          <t>J41130</t>
        </is>
      </c>
      <c r="C134" s="12" t="n">
        <v>4</v>
      </c>
      <c r="D134" s="12" t="inlineStr">
        <is>
          <t>SALES</t>
        </is>
      </c>
      <c r="E134" s="12" t="inlineStr">
        <is>
          <t>Direct Sales</t>
        </is>
      </c>
      <c r="F134" s="12" t="inlineStr">
        <is>
          <t>OPEX</t>
        </is>
      </c>
      <c r="G134" s="12" t="inlineStr">
        <is>
          <t>Operating Expenses</t>
        </is>
      </c>
      <c r="H134" s="12" t="inlineStr">
        <is>
          <t>RENT</t>
        </is>
      </c>
      <c r="I134" s="12" t="inlineStr">
        <is>
          <t>Rent and Facilities</t>
        </is>
      </c>
      <c r="J134" s="13" t="n">
        <v>11184</v>
      </c>
    </row>
    <row r="135">
      <c r="A135" s="40" t="n">
        <v>46132</v>
      </c>
      <c r="B135" s="12" t="inlineStr">
        <is>
          <t>J41131</t>
        </is>
      </c>
      <c r="C135" s="12" t="n">
        <v>4</v>
      </c>
      <c r="D135" s="12" t="inlineStr">
        <is>
          <t>CHANNEL</t>
        </is>
      </c>
      <c r="E135" s="12" t="inlineStr">
        <is>
          <t>Distributor Channel</t>
        </is>
      </c>
      <c r="F135" s="12" t="inlineStr">
        <is>
          <t>OPEX</t>
        </is>
      </c>
      <c r="G135" s="12" t="inlineStr">
        <is>
          <t>Operating Expenses</t>
        </is>
      </c>
      <c r="H135" s="12" t="inlineStr">
        <is>
          <t>RENT</t>
        </is>
      </c>
      <c r="I135" s="12" t="inlineStr">
        <is>
          <t>Rent and Facilities</t>
        </is>
      </c>
      <c r="J135" s="13" t="n">
        <v>9742</v>
      </c>
    </row>
    <row r="136">
      <c r="A136" s="40" t="n">
        <v>46128</v>
      </c>
      <c r="B136" s="12" t="inlineStr">
        <is>
          <t>J41132</t>
        </is>
      </c>
      <c r="C136" s="12" t="n">
        <v>4</v>
      </c>
      <c r="D136" s="12" t="inlineStr">
        <is>
          <t>SERVICE</t>
        </is>
      </c>
      <c r="E136" s="12" t="inlineStr">
        <is>
          <t>Service and Support</t>
        </is>
      </c>
      <c r="F136" s="12" t="inlineStr">
        <is>
          <t>OPEX</t>
        </is>
      </c>
      <c r="G136" s="12" t="inlineStr">
        <is>
          <t>Operating Expenses</t>
        </is>
      </c>
      <c r="H136" s="12" t="inlineStr">
        <is>
          <t>RENT</t>
        </is>
      </c>
      <c r="I136" s="12" t="inlineStr">
        <is>
          <t>Rent and Facilities</t>
        </is>
      </c>
      <c r="J136" s="13" t="n">
        <v>11048</v>
      </c>
    </row>
    <row r="137">
      <c r="A137" s="40" t="n">
        <v>46121</v>
      </c>
      <c r="B137" s="12" t="inlineStr">
        <is>
          <t>J41133</t>
        </is>
      </c>
      <c r="C137" s="12" t="n">
        <v>4</v>
      </c>
      <c r="D137" s="12" t="inlineStr">
        <is>
          <t>SALES</t>
        </is>
      </c>
      <c r="E137" s="12" t="inlineStr">
        <is>
          <t>Direct Sales</t>
        </is>
      </c>
      <c r="F137" s="12" t="inlineStr">
        <is>
          <t>OPEX</t>
        </is>
      </c>
      <c r="G137" s="12" t="inlineStr">
        <is>
          <t>Operating Expenses</t>
        </is>
      </c>
      <c r="H137" s="12" t="inlineStr">
        <is>
          <t>VEHICLE</t>
        </is>
      </c>
      <c r="I137" s="12" t="inlineStr">
        <is>
          <t>Vehicle</t>
        </is>
      </c>
      <c r="J137" s="13" t="n">
        <v>12427</v>
      </c>
    </row>
    <row r="138">
      <c r="A138" s="40" t="n">
        <v>46117</v>
      </c>
      <c r="B138" s="12" t="inlineStr">
        <is>
          <t>J41134</t>
        </is>
      </c>
      <c r="C138" s="12" t="n">
        <v>4</v>
      </c>
      <c r="D138" s="12" t="inlineStr">
        <is>
          <t>CHANNEL</t>
        </is>
      </c>
      <c r="E138" s="12" t="inlineStr">
        <is>
          <t>Distributor Channel</t>
        </is>
      </c>
      <c r="F138" s="12" t="inlineStr">
        <is>
          <t>OPEX</t>
        </is>
      </c>
      <c r="G138" s="12" t="inlineStr">
        <is>
          <t>Operating Expenses</t>
        </is>
      </c>
      <c r="H138" s="12" t="inlineStr">
        <is>
          <t>VEHICLE</t>
        </is>
      </c>
      <c r="I138" s="12" t="inlineStr">
        <is>
          <t>Vehicle</t>
        </is>
      </c>
      <c r="J138" s="13" t="n">
        <v>6730</v>
      </c>
    </row>
    <row r="139">
      <c r="A139" s="40" t="n">
        <v>46133</v>
      </c>
      <c r="B139" s="12" t="inlineStr">
        <is>
          <t>J41135</t>
        </is>
      </c>
      <c r="C139" s="12" t="n">
        <v>4</v>
      </c>
      <c r="D139" s="12" t="inlineStr">
        <is>
          <t>SERVICE</t>
        </is>
      </c>
      <c r="E139" s="12" t="inlineStr">
        <is>
          <t>Service and Support</t>
        </is>
      </c>
      <c r="F139" s="12" t="inlineStr">
        <is>
          <t>OPEX</t>
        </is>
      </c>
      <c r="G139" s="12" t="inlineStr">
        <is>
          <t>Operating Expenses</t>
        </is>
      </c>
      <c r="H139" s="12" t="inlineStr">
        <is>
          <t>VEHICLE</t>
        </is>
      </c>
      <c r="I139" s="12" t="inlineStr">
        <is>
          <t>Vehicle</t>
        </is>
      </c>
      <c r="J139" s="13" t="n">
        <v>3101</v>
      </c>
    </row>
    <row r="140">
      <c r="A140" s="40" t="n">
        <v>46124</v>
      </c>
      <c r="B140" s="12" t="inlineStr">
        <is>
          <t>J41136</t>
        </is>
      </c>
      <c r="C140" s="12" t="n">
        <v>4</v>
      </c>
      <c r="D140" s="12" t="inlineStr">
        <is>
          <t>SALES</t>
        </is>
      </c>
      <c r="E140" s="12" t="inlineStr">
        <is>
          <t>Direct Sales</t>
        </is>
      </c>
      <c r="F140" s="12" t="inlineStr">
        <is>
          <t>OPEX</t>
        </is>
      </c>
      <c r="G140" s="12" t="inlineStr">
        <is>
          <t>Operating Expenses</t>
        </is>
      </c>
      <c r="H140" s="12" t="inlineStr">
        <is>
          <t>MARKETING</t>
        </is>
      </c>
      <c r="I140" s="12" t="inlineStr">
        <is>
          <t>Marketing</t>
        </is>
      </c>
      <c r="J140" s="13" t="n">
        <v>17464</v>
      </c>
    </row>
    <row r="141">
      <c r="A141" s="40" t="n">
        <v>46115</v>
      </c>
      <c r="B141" s="12" t="inlineStr">
        <is>
          <t>J41137</t>
        </is>
      </c>
      <c r="C141" s="12" t="n">
        <v>4</v>
      </c>
      <c r="D141" s="12" t="inlineStr">
        <is>
          <t>CHANNEL</t>
        </is>
      </c>
      <c r="E141" s="12" t="inlineStr">
        <is>
          <t>Distributor Channel</t>
        </is>
      </c>
      <c r="F141" s="12" t="inlineStr">
        <is>
          <t>OPEX</t>
        </is>
      </c>
      <c r="G141" s="12" t="inlineStr">
        <is>
          <t>Operating Expenses</t>
        </is>
      </c>
      <c r="H141" s="12" t="inlineStr">
        <is>
          <t>MARKETING</t>
        </is>
      </c>
      <c r="I141" s="12" t="inlineStr">
        <is>
          <t>Marketing</t>
        </is>
      </c>
      <c r="J141" s="13" t="n">
        <v>11321</v>
      </c>
    </row>
    <row r="142">
      <c r="A142" s="40" t="n">
        <v>46123</v>
      </c>
      <c r="B142" s="12" t="inlineStr">
        <is>
          <t>J41138</t>
        </is>
      </c>
      <c r="C142" s="12" t="n">
        <v>4</v>
      </c>
      <c r="D142" s="12" t="inlineStr">
        <is>
          <t>SERVICE</t>
        </is>
      </c>
      <c r="E142" s="12" t="inlineStr">
        <is>
          <t>Service and Support</t>
        </is>
      </c>
      <c r="F142" s="12" t="inlineStr">
        <is>
          <t>OPEX</t>
        </is>
      </c>
      <c r="G142" s="12" t="inlineStr">
        <is>
          <t>Operating Expenses</t>
        </is>
      </c>
      <c r="H142" s="12" t="inlineStr">
        <is>
          <t>MARKETING</t>
        </is>
      </c>
      <c r="I142" s="12" t="inlineStr">
        <is>
          <t>Marketing</t>
        </is>
      </c>
      <c r="J142" s="13" t="n">
        <v>5202</v>
      </c>
    </row>
    <row r="143">
      <c r="A143" s="40" t="n">
        <v>46126</v>
      </c>
      <c r="B143" s="12" t="inlineStr">
        <is>
          <t>J41139</t>
        </is>
      </c>
      <c r="C143" s="12" t="n">
        <v>4</v>
      </c>
      <c r="D143" s="12" t="inlineStr">
        <is>
          <t>SALES</t>
        </is>
      </c>
      <c r="E143" s="12" t="inlineStr">
        <is>
          <t>Direct Sales</t>
        </is>
      </c>
      <c r="F143" s="12" t="inlineStr">
        <is>
          <t>OPEX</t>
        </is>
      </c>
      <c r="G143" s="12" t="inlineStr">
        <is>
          <t>Operating Expenses</t>
        </is>
      </c>
      <c r="H143" s="12" t="inlineStr">
        <is>
          <t>ENTERTAIN</t>
        </is>
      </c>
      <c r="I143" s="12" t="inlineStr">
        <is>
          <t>Entertainment</t>
        </is>
      </c>
      <c r="J143" s="13" t="n">
        <v>2657</v>
      </c>
    </row>
    <row r="144">
      <c r="A144" s="40" t="n">
        <v>46133</v>
      </c>
      <c r="B144" s="12" t="inlineStr">
        <is>
          <t>J41140</t>
        </is>
      </c>
      <c r="C144" s="12" t="n">
        <v>4</v>
      </c>
      <c r="D144" s="12" t="inlineStr">
        <is>
          <t>CHANNEL</t>
        </is>
      </c>
      <c r="E144" s="12" t="inlineStr">
        <is>
          <t>Distributor Channel</t>
        </is>
      </c>
      <c r="F144" s="12" t="inlineStr">
        <is>
          <t>OPEX</t>
        </is>
      </c>
      <c r="G144" s="12" t="inlineStr">
        <is>
          <t>Operating Expenses</t>
        </is>
      </c>
      <c r="H144" s="12" t="inlineStr">
        <is>
          <t>ENTERTAIN</t>
        </is>
      </c>
      <c r="I144" s="12" t="inlineStr">
        <is>
          <t>Entertainment</t>
        </is>
      </c>
      <c r="J144" s="13" t="n">
        <v>1458</v>
      </c>
    </row>
    <row r="145">
      <c r="A145" s="40" t="n">
        <v>46117</v>
      </c>
      <c r="B145" s="12" t="inlineStr">
        <is>
          <t>J41141</t>
        </is>
      </c>
      <c r="C145" s="12" t="n">
        <v>4</v>
      </c>
      <c r="D145" s="12" t="inlineStr">
        <is>
          <t>SERVICE</t>
        </is>
      </c>
      <c r="E145" s="12" t="inlineStr">
        <is>
          <t>Service and Support</t>
        </is>
      </c>
      <c r="F145" s="12" t="inlineStr">
        <is>
          <t>OPEX</t>
        </is>
      </c>
      <c r="G145" s="12" t="inlineStr">
        <is>
          <t>Operating Expenses</t>
        </is>
      </c>
      <c r="H145" s="12" t="inlineStr">
        <is>
          <t>ENTERTAIN</t>
        </is>
      </c>
      <c r="I145" s="12" t="inlineStr">
        <is>
          <t>Entertainment</t>
        </is>
      </c>
      <c r="J145" s="13" t="n">
        <v>738</v>
      </c>
    </row>
    <row r="146">
      <c r="A146" s="40" t="n">
        <v>46120</v>
      </c>
      <c r="B146" s="12" t="inlineStr">
        <is>
          <t>J41142</t>
        </is>
      </c>
      <c r="C146" s="12" t="n">
        <v>4</v>
      </c>
      <c r="D146" s="12" t="inlineStr">
        <is>
          <t>SALES</t>
        </is>
      </c>
      <c r="E146" s="12" t="inlineStr">
        <is>
          <t>Direct Sales</t>
        </is>
      </c>
      <c r="F146" s="12" t="inlineStr">
        <is>
          <t>OPEX</t>
        </is>
      </c>
      <c r="G146" s="12" t="inlineStr">
        <is>
          <t>Operating Expenses</t>
        </is>
      </c>
      <c r="H146" s="12" t="inlineStr">
        <is>
          <t>OFFICE</t>
        </is>
      </c>
      <c r="I146" s="12" t="inlineStr">
        <is>
          <t>Office</t>
        </is>
      </c>
      <c r="J146" s="13" t="n">
        <v>5387</v>
      </c>
    </row>
    <row r="147">
      <c r="A147" s="40" t="n">
        <v>46122</v>
      </c>
      <c r="B147" s="12" t="inlineStr">
        <is>
          <t>J41143</t>
        </is>
      </c>
      <c r="C147" s="12" t="n">
        <v>4</v>
      </c>
      <c r="D147" s="12" t="inlineStr">
        <is>
          <t>CHANNEL</t>
        </is>
      </c>
      <c r="E147" s="12" t="inlineStr">
        <is>
          <t>Distributor Channel</t>
        </is>
      </c>
      <c r="F147" s="12" t="inlineStr">
        <is>
          <t>OPEX</t>
        </is>
      </c>
      <c r="G147" s="12" t="inlineStr">
        <is>
          <t>Operating Expenses</t>
        </is>
      </c>
      <c r="H147" s="12" t="inlineStr">
        <is>
          <t>OFFICE</t>
        </is>
      </c>
      <c r="I147" s="12" t="inlineStr">
        <is>
          <t>Office</t>
        </is>
      </c>
      <c r="J147" s="13" t="n">
        <v>3128</v>
      </c>
    </row>
    <row r="148">
      <c r="A148" s="40" t="n">
        <v>46136</v>
      </c>
      <c r="B148" s="12" t="inlineStr">
        <is>
          <t>J41144</t>
        </is>
      </c>
      <c r="C148" s="12" t="n">
        <v>4</v>
      </c>
      <c r="D148" s="12" t="inlineStr">
        <is>
          <t>SERVICE</t>
        </is>
      </c>
      <c r="E148" s="12" t="inlineStr">
        <is>
          <t>Service and Support</t>
        </is>
      </c>
      <c r="F148" s="12" t="inlineStr">
        <is>
          <t>OPEX</t>
        </is>
      </c>
      <c r="G148" s="12" t="inlineStr">
        <is>
          <t>Operating Expenses</t>
        </is>
      </c>
      <c r="H148" s="12" t="inlineStr">
        <is>
          <t>OFFICE</t>
        </is>
      </c>
      <c r="I148" s="12" t="inlineStr">
        <is>
          <t>Office</t>
        </is>
      </c>
      <c r="J148" s="13" t="n">
        <v>1429</v>
      </c>
    </row>
    <row r="149">
      <c r="A149" s="40" t="n">
        <v>46139</v>
      </c>
      <c r="B149" s="12" t="inlineStr">
        <is>
          <t>J41145</t>
        </is>
      </c>
      <c r="C149" s="12" t="n">
        <v>4</v>
      </c>
      <c r="D149" s="12" t="inlineStr">
        <is>
          <t>SALES</t>
        </is>
      </c>
      <c r="E149" s="12" t="inlineStr">
        <is>
          <t>Direct Sales</t>
        </is>
      </c>
      <c r="F149" s="12" t="inlineStr">
        <is>
          <t>OPEX</t>
        </is>
      </c>
      <c r="G149" s="12" t="inlineStr">
        <is>
          <t>Operating Expenses</t>
        </is>
      </c>
      <c r="H149" s="12" t="inlineStr">
        <is>
          <t>MERCHANT</t>
        </is>
      </c>
      <c r="I149" s="12" t="inlineStr">
        <is>
          <t>Merchant Fees</t>
        </is>
      </c>
      <c r="J149" s="13" t="n">
        <v>6273</v>
      </c>
    </row>
    <row r="150">
      <c r="A150" s="40" t="n">
        <v>46138</v>
      </c>
      <c r="B150" s="12" t="inlineStr">
        <is>
          <t>J41146</t>
        </is>
      </c>
      <c r="C150" s="12" t="n">
        <v>4</v>
      </c>
      <c r="D150" s="12" t="inlineStr">
        <is>
          <t>CHANNEL</t>
        </is>
      </c>
      <c r="E150" s="12" t="inlineStr">
        <is>
          <t>Distributor Channel</t>
        </is>
      </c>
      <c r="F150" s="12" t="inlineStr">
        <is>
          <t>OPEX</t>
        </is>
      </c>
      <c r="G150" s="12" t="inlineStr">
        <is>
          <t>Operating Expenses</t>
        </is>
      </c>
      <c r="H150" s="12" t="inlineStr">
        <is>
          <t>MERCHANT</t>
        </is>
      </c>
      <c r="I150" s="12" t="inlineStr">
        <is>
          <t>Merchant Fees</t>
        </is>
      </c>
      <c r="J150" s="13" t="n">
        <v>3323</v>
      </c>
    </row>
    <row r="151">
      <c r="A151" s="40" t="n">
        <v>46135</v>
      </c>
      <c r="B151" s="12" t="inlineStr">
        <is>
          <t>J41147</t>
        </is>
      </c>
      <c r="C151" s="12" t="n">
        <v>4</v>
      </c>
      <c r="D151" s="12" t="inlineStr">
        <is>
          <t>SERVICE</t>
        </is>
      </c>
      <c r="E151" s="12" t="inlineStr">
        <is>
          <t>Service and Support</t>
        </is>
      </c>
      <c r="F151" s="12" t="inlineStr">
        <is>
          <t>OPEX</t>
        </is>
      </c>
      <c r="G151" s="12" t="inlineStr">
        <is>
          <t>Operating Expenses</t>
        </is>
      </c>
      <c r="H151" s="12" t="inlineStr">
        <is>
          <t>MERCHANT</t>
        </is>
      </c>
      <c r="I151" s="12" t="inlineStr">
        <is>
          <t>Merchant Fees</t>
        </is>
      </c>
      <c r="J151" s="13" t="n">
        <v>1718</v>
      </c>
    </row>
    <row r="152">
      <c r="A152" s="40" t="n">
        <v>46117</v>
      </c>
      <c r="B152" s="12" t="inlineStr">
        <is>
          <t>J41148</t>
        </is>
      </c>
      <c r="C152" s="12" t="n">
        <v>4</v>
      </c>
      <c r="D152" s="12" t="inlineStr">
        <is>
          <t>SALES</t>
        </is>
      </c>
      <c r="E152" s="12" t="inlineStr">
        <is>
          <t>Direct Sales</t>
        </is>
      </c>
      <c r="F152" s="12" t="inlineStr">
        <is>
          <t>OPEX</t>
        </is>
      </c>
      <c r="G152" s="12" t="inlineStr">
        <is>
          <t>Operating Expenses</t>
        </is>
      </c>
      <c r="H152" s="12" t="inlineStr">
        <is>
          <t>PROFSVC</t>
        </is>
      </c>
      <c r="I152" s="12" t="inlineStr">
        <is>
          <t>Professional Fees</t>
        </is>
      </c>
      <c r="J152" s="13" t="n">
        <v>7927</v>
      </c>
    </row>
    <row r="153">
      <c r="A153" s="40" t="n">
        <v>46134</v>
      </c>
      <c r="B153" s="12" t="inlineStr">
        <is>
          <t>J41149</t>
        </is>
      </c>
      <c r="C153" s="12" t="n">
        <v>4</v>
      </c>
      <c r="D153" s="12" t="inlineStr">
        <is>
          <t>CHANNEL</t>
        </is>
      </c>
      <c r="E153" s="12" t="inlineStr">
        <is>
          <t>Distributor Channel</t>
        </is>
      </c>
      <c r="F153" s="12" t="inlineStr">
        <is>
          <t>OPEX</t>
        </is>
      </c>
      <c r="G153" s="12" t="inlineStr">
        <is>
          <t>Operating Expenses</t>
        </is>
      </c>
      <c r="H153" s="12" t="inlineStr">
        <is>
          <t>PROFSVC</t>
        </is>
      </c>
      <c r="I153" s="12" t="inlineStr">
        <is>
          <t>Professional Fees</t>
        </is>
      </c>
      <c r="J153" s="13" t="n">
        <v>3687</v>
      </c>
    </row>
    <row r="154">
      <c r="A154" s="40" t="n">
        <v>46134</v>
      </c>
      <c r="B154" s="12" t="inlineStr">
        <is>
          <t>J41150</t>
        </is>
      </c>
      <c r="C154" s="12" t="n">
        <v>4</v>
      </c>
      <c r="D154" s="12" t="inlineStr">
        <is>
          <t>SERVICE</t>
        </is>
      </c>
      <c r="E154" s="12" t="inlineStr">
        <is>
          <t>Service and Support</t>
        </is>
      </c>
      <c r="F154" s="12" t="inlineStr">
        <is>
          <t>OPEX</t>
        </is>
      </c>
      <c r="G154" s="12" t="inlineStr">
        <is>
          <t>Operating Expenses</t>
        </is>
      </c>
      <c r="H154" s="12" t="inlineStr">
        <is>
          <t>PROFSVC</t>
        </is>
      </c>
      <c r="I154" s="12" t="inlineStr">
        <is>
          <t>Professional Fees</t>
        </is>
      </c>
      <c r="J154" s="13" t="n">
        <v>2147</v>
      </c>
    </row>
    <row r="155">
      <c r="A155" s="40" t="n">
        <v>46132</v>
      </c>
      <c r="B155" s="12" t="inlineStr">
        <is>
          <t>J41151</t>
        </is>
      </c>
      <c r="C155" s="12" t="n">
        <v>4</v>
      </c>
      <c r="D155" s="12" t="inlineStr">
        <is>
          <t>SALES</t>
        </is>
      </c>
      <c r="E155" s="12" t="inlineStr">
        <is>
          <t>Direct Sales</t>
        </is>
      </c>
      <c r="F155" s="12" t="inlineStr">
        <is>
          <t>OPEX</t>
        </is>
      </c>
      <c r="G155" s="12" t="inlineStr">
        <is>
          <t>Operating Expenses</t>
        </is>
      </c>
      <c r="H155" s="12" t="inlineStr">
        <is>
          <t>DEPREC</t>
        </is>
      </c>
      <c r="I155" s="12" t="inlineStr">
        <is>
          <t>Depreciation</t>
        </is>
      </c>
      <c r="J155" s="13" t="n">
        <v>4362</v>
      </c>
    </row>
    <row r="156">
      <c r="A156" s="40" t="n">
        <v>46121</v>
      </c>
      <c r="B156" s="12" t="inlineStr">
        <is>
          <t>J41152</t>
        </is>
      </c>
      <c r="C156" s="12" t="n">
        <v>4</v>
      </c>
      <c r="D156" s="12" t="inlineStr">
        <is>
          <t>CHANNEL</t>
        </is>
      </c>
      <c r="E156" s="12" t="inlineStr">
        <is>
          <t>Distributor Channel</t>
        </is>
      </c>
      <c r="F156" s="12" t="inlineStr">
        <is>
          <t>OPEX</t>
        </is>
      </c>
      <c r="G156" s="12" t="inlineStr">
        <is>
          <t>Operating Expenses</t>
        </is>
      </c>
      <c r="H156" s="12" t="inlineStr">
        <is>
          <t>DEPREC</t>
        </is>
      </c>
      <c r="I156" s="12" t="inlineStr">
        <is>
          <t>Depreciation</t>
        </is>
      </c>
      <c r="J156" s="13" t="n">
        <v>4260</v>
      </c>
    </row>
    <row r="157">
      <c r="A157" s="40" t="n">
        <v>46133</v>
      </c>
      <c r="B157" s="12" t="inlineStr">
        <is>
          <t>J41153</t>
        </is>
      </c>
      <c r="C157" s="12" t="n">
        <v>4</v>
      </c>
      <c r="D157" s="12" t="inlineStr">
        <is>
          <t>SERVICE</t>
        </is>
      </c>
      <c r="E157" s="12" t="inlineStr">
        <is>
          <t>Service and Support</t>
        </is>
      </c>
      <c r="F157" s="12" t="inlineStr">
        <is>
          <t>OPEX</t>
        </is>
      </c>
      <c r="G157" s="12" t="inlineStr">
        <is>
          <t>Operating Expenses</t>
        </is>
      </c>
      <c r="H157" s="12" t="inlineStr">
        <is>
          <t>DEPREC</t>
        </is>
      </c>
      <c r="I157" s="12" t="inlineStr">
        <is>
          <t>Depreciation</t>
        </is>
      </c>
      <c r="J157" s="13" t="n">
        <v>4534</v>
      </c>
    </row>
    <row r="158">
      <c r="A158" s="40" t="n">
        <v>46118</v>
      </c>
      <c r="B158" s="12" t="inlineStr">
        <is>
          <t>J41154</t>
        </is>
      </c>
      <c r="C158" s="12" t="n">
        <v>4</v>
      </c>
      <c r="D158" s="12" t="inlineStr">
        <is>
          <t>SALES</t>
        </is>
      </c>
      <c r="E158" s="12" t="inlineStr">
        <is>
          <t>Direct Sales</t>
        </is>
      </c>
      <c r="F158" s="12" t="inlineStr">
        <is>
          <t>OPEX</t>
        </is>
      </c>
      <c r="G158" s="12" t="inlineStr">
        <is>
          <t>Operating Expenses</t>
        </is>
      </c>
      <c r="H158" s="12" t="inlineStr">
        <is>
          <t>FINANCE</t>
        </is>
      </c>
      <c r="I158" s="12" t="inlineStr">
        <is>
          <t>Finance Costs</t>
        </is>
      </c>
      <c r="J158" s="13" t="n">
        <v>2740</v>
      </c>
    </row>
    <row r="159">
      <c r="A159" s="40" t="n">
        <v>46115</v>
      </c>
      <c r="B159" s="12" t="inlineStr">
        <is>
          <t>J41155</t>
        </is>
      </c>
      <c r="C159" s="12" t="n">
        <v>4</v>
      </c>
      <c r="D159" s="12" t="inlineStr">
        <is>
          <t>CHANNEL</t>
        </is>
      </c>
      <c r="E159" s="12" t="inlineStr">
        <is>
          <t>Distributor Channel</t>
        </is>
      </c>
      <c r="F159" s="12" t="inlineStr">
        <is>
          <t>OPEX</t>
        </is>
      </c>
      <c r="G159" s="12" t="inlineStr">
        <is>
          <t>Operating Expenses</t>
        </is>
      </c>
      <c r="H159" s="12" t="inlineStr">
        <is>
          <t>FINANCE</t>
        </is>
      </c>
      <c r="I159" s="12" t="inlineStr">
        <is>
          <t>Finance Costs</t>
        </is>
      </c>
      <c r="J159" s="13" t="n">
        <v>2376</v>
      </c>
    </row>
    <row r="160">
      <c r="A160" s="40" t="n">
        <v>46116</v>
      </c>
      <c r="B160" s="12" t="inlineStr">
        <is>
          <t>J41156</t>
        </is>
      </c>
      <c r="C160" s="12" t="n">
        <v>4</v>
      </c>
      <c r="D160" s="12" t="inlineStr">
        <is>
          <t>SERVICE</t>
        </is>
      </c>
      <c r="E160" s="12" t="inlineStr">
        <is>
          <t>Service and Support</t>
        </is>
      </c>
      <c r="F160" s="12" t="inlineStr">
        <is>
          <t>OPEX</t>
        </is>
      </c>
      <c r="G160" s="12" t="inlineStr">
        <is>
          <t>Operating Expenses</t>
        </is>
      </c>
      <c r="H160" s="12" t="inlineStr">
        <is>
          <t>FINANCE</t>
        </is>
      </c>
      <c r="I160" s="12" t="inlineStr">
        <is>
          <t>Finance Costs</t>
        </is>
      </c>
      <c r="J160" s="13" t="n">
        <v>2321</v>
      </c>
    </row>
    <row r="161">
      <c r="A161" s="40" t="n">
        <v>46169</v>
      </c>
      <c r="B161" s="12" t="inlineStr">
        <is>
          <t>J41157</t>
        </is>
      </c>
      <c r="C161" s="12" t="n">
        <v>5</v>
      </c>
      <c r="D161" s="12" t="inlineStr">
        <is>
          <t>SALES</t>
        </is>
      </c>
      <c r="E161" s="12" t="inlineStr">
        <is>
          <t>Direct Sales</t>
        </is>
      </c>
      <c r="F161" s="12" t="inlineStr">
        <is>
          <t>REVENUE</t>
        </is>
      </c>
      <c r="G161" s="12" t="inlineStr">
        <is>
          <t>Revenue</t>
        </is>
      </c>
      <c r="H161" s="12" t="inlineStr">
        <is>
          <t>REVENUE_PROD</t>
        </is>
      </c>
      <c r="I161" s="12" t="inlineStr">
        <is>
          <t>Product Revenue</t>
        </is>
      </c>
      <c r="J161" s="13" t="n">
        <v>541368</v>
      </c>
    </row>
    <row r="162">
      <c r="A162" s="40" t="n">
        <v>46161</v>
      </c>
      <c r="B162" s="12" t="inlineStr">
        <is>
          <t>J41158</t>
        </is>
      </c>
      <c r="C162" s="12" t="n">
        <v>5</v>
      </c>
      <c r="D162" s="12" t="inlineStr">
        <is>
          <t>CHANNEL</t>
        </is>
      </c>
      <c r="E162" s="12" t="inlineStr">
        <is>
          <t>Distributor Channel</t>
        </is>
      </c>
      <c r="F162" s="12" t="inlineStr">
        <is>
          <t>REVENUE</t>
        </is>
      </c>
      <c r="G162" s="12" t="inlineStr">
        <is>
          <t>Revenue</t>
        </is>
      </c>
      <c r="H162" s="12" t="inlineStr">
        <is>
          <t>REVENUE_PROD</t>
        </is>
      </c>
      <c r="I162" s="12" t="inlineStr">
        <is>
          <t>Product Revenue</t>
        </is>
      </c>
      <c r="J162" s="13" t="n">
        <v>295543</v>
      </c>
    </row>
    <row r="163">
      <c r="A163" s="40" t="n">
        <v>46159</v>
      </c>
      <c r="B163" s="12" t="inlineStr">
        <is>
          <t>J41159</t>
        </is>
      </c>
      <c r="C163" s="12" t="n">
        <v>5</v>
      </c>
      <c r="D163" s="12" t="inlineStr">
        <is>
          <t>SERVICE</t>
        </is>
      </c>
      <c r="E163" s="12" t="inlineStr">
        <is>
          <t>Service and Support</t>
        </is>
      </c>
      <c r="F163" s="12" t="inlineStr">
        <is>
          <t>REVENUE</t>
        </is>
      </c>
      <c r="G163" s="12" t="inlineStr">
        <is>
          <t>Revenue</t>
        </is>
      </c>
      <c r="H163" s="12" t="inlineStr">
        <is>
          <t>REVENUE_PROD</t>
        </is>
      </c>
      <c r="I163" s="12" t="inlineStr">
        <is>
          <t>Product Revenue</t>
        </is>
      </c>
      <c r="J163" s="13" t="n">
        <v>141421</v>
      </c>
    </row>
    <row r="164">
      <c r="A164" s="40" t="n">
        <v>46157</v>
      </c>
      <c r="B164" s="12" t="inlineStr">
        <is>
          <t>J41160</t>
        </is>
      </c>
      <c r="C164" s="12" t="n">
        <v>5</v>
      </c>
      <c r="D164" s="12" t="inlineStr">
        <is>
          <t>SALES</t>
        </is>
      </c>
      <c r="E164" s="12" t="inlineStr">
        <is>
          <t>Direct Sales</t>
        </is>
      </c>
      <c r="F164" s="12" t="inlineStr">
        <is>
          <t>REVENUE</t>
        </is>
      </c>
      <c r="G164" s="12" t="inlineStr">
        <is>
          <t>Revenue</t>
        </is>
      </c>
      <c r="H164" s="12" t="inlineStr">
        <is>
          <t>REVENUE_SVC</t>
        </is>
      </c>
      <c r="I164" s="12" t="inlineStr">
        <is>
          <t>Service Revenue</t>
        </is>
      </c>
      <c r="J164" s="13" t="n">
        <v>5109</v>
      </c>
    </row>
    <row r="165">
      <c r="A165" s="40" t="n">
        <v>46148</v>
      </c>
      <c r="B165" s="12" t="inlineStr">
        <is>
          <t>J41161</t>
        </is>
      </c>
      <c r="C165" s="12" t="n">
        <v>5</v>
      </c>
      <c r="D165" s="12" t="inlineStr">
        <is>
          <t>CHANNEL</t>
        </is>
      </c>
      <c r="E165" s="12" t="inlineStr">
        <is>
          <t>Distributor Channel</t>
        </is>
      </c>
      <c r="F165" s="12" t="inlineStr">
        <is>
          <t>REVENUE</t>
        </is>
      </c>
      <c r="G165" s="12" t="inlineStr">
        <is>
          <t>Revenue</t>
        </is>
      </c>
      <c r="H165" s="12" t="inlineStr">
        <is>
          <t>REVENUE_SVC</t>
        </is>
      </c>
      <c r="I165" s="12" t="inlineStr">
        <is>
          <t>Service Revenue</t>
        </is>
      </c>
      <c r="J165" s="13" t="n">
        <v>4724</v>
      </c>
    </row>
    <row r="166">
      <c r="A166" s="40" t="n">
        <v>46154</v>
      </c>
      <c r="B166" s="12" t="inlineStr">
        <is>
          <t>J41162</t>
        </is>
      </c>
      <c r="C166" s="12" t="n">
        <v>5</v>
      </c>
      <c r="D166" s="12" t="inlineStr">
        <is>
          <t>SERVICE</t>
        </is>
      </c>
      <c r="E166" s="12" t="inlineStr">
        <is>
          <t>Service and Support</t>
        </is>
      </c>
      <c r="F166" s="12" t="inlineStr">
        <is>
          <t>REVENUE</t>
        </is>
      </c>
      <c r="G166" s="12" t="inlineStr">
        <is>
          <t>Revenue</t>
        </is>
      </c>
      <c r="H166" s="12" t="inlineStr">
        <is>
          <t>REVENUE_SVC</t>
        </is>
      </c>
      <c r="I166" s="12" t="inlineStr">
        <is>
          <t>Service Revenue</t>
        </is>
      </c>
      <c r="J166" s="13" t="n">
        <v>85495</v>
      </c>
    </row>
    <row r="167">
      <c r="A167" s="40" t="n">
        <v>46154</v>
      </c>
      <c r="B167" s="12" t="inlineStr">
        <is>
          <t>J41163</t>
        </is>
      </c>
      <c r="C167" s="12" t="n">
        <v>5</v>
      </c>
      <c r="D167" s="12" t="inlineStr">
        <is>
          <t>SALES</t>
        </is>
      </c>
      <c r="E167" s="12" t="inlineStr">
        <is>
          <t>Direct Sales</t>
        </is>
      </c>
      <c r="F167" s="12" t="inlineStr">
        <is>
          <t>COGS</t>
        </is>
      </c>
      <c r="G167" s="12" t="inlineStr">
        <is>
          <t>Cost of Sales</t>
        </is>
      </c>
      <c r="H167" s="12" t="inlineStr">
        <is>
          <t>COGS</t>
        </is>
      </c>
      <c r="I167" s="12" t="inlineStr">
        <is>
          <t>Cost of Goods Sold</t>
        </is>
      </c>
      <c r="J167" s="13" t="n">
        <v>399091</v>
      </c>
    </row>
    <row r="168">
      <c r="A168" s="40" t="n">
        <v>46149</v>
      </c>
      <c r="B168" s="12" t="inlineStr">
        <is>
          <t>J41164</t>
        </is>
      </c>
      <c r="C168" s="12" t="n">
        <v>5</v>
      </c>
      <c r="D168" s="12" t="inlineStr">
        <is>
          <t>CHANNEL</t>
        </is>
      </c>
      <c r="E168" s="12" t="inlineStr">
        <is>
          <t>Distributor Channel</t>
        </is>
      </c>
      <c r="F168" s="12" t="inlineStr">
        <is>
          <t>COGS</t>
        </is>
      </c>
      <c r="G168" s="12" t="inlineStr">
        <is>
          <t>Cost of Sales</t>
        </is>
      </c>
      <c r="H168" s="12" t="inlineStr">
        <is>
          <t>COGS</t>
        </is>
      </c>
      <c r="I168" s="12" t="inlineStr">
        <is>
          <t>Cost of Goods Sold</t>
        </is>
      </c>
      <c r="J168" s="13" t="n">
        <v>206320</v>
      </c>
    </row>
    <row r="169">
      <c r="A169" s="40" t="n">
        <v>46163</v>
      </c>
      <c r="B169" s="12" t="inlineStr">
        <is>
          <t>J41165</t>
        </is>
      </c>
      <c r="C169" s="12" t="n">
        <v>5</v>
      </c>
      <c r="D169" s="12" t="inlineStr">
        <is>
          <t>SERVICE</t>
        </is>
      </c>
      <c r="E169" s="12" t="inlineStr">
        <is>
          <t>Service and Support</t>
        </is>
      </c>
      <c r="F169" s="12" t="inlineStr">
        <is>
          <t>COGS</t>
        </is>
      </c>
      <c r="G169" s="12" t="inlineStr">
        <is>
          <t>Cost of Sales</t>
        </is>
      </c>
      <c r="H169" s="12" t="inlineStr">
        <is>
          <t>COGS</t>
        </is>
      </c>
      <c r="I169" s="12" t="inlineStr">
        <is>
          <t>Cost of Goods Sold</t>
        </is>
      </c>
      <c r="J169" s="13" t="n">
        <v>107599</v>
      </c>
    </row>
    <row r="170">
      <c r="A170" s="40" t="n">
        <v>46156</v>
      </c>
      <c r="B170" s="12" t="inlineStr">
        <is>
          <t>J41166</t>
        </is>
      </c>
      <c r="C170" s="12" t="n">
        <v>5</v>
      </c>
      <c r="D170" s="12" t="inlineStr">
        <is>
          <t>SALES</t>
        </is>
      </c>
      <c r="E170" s="12" t="inlineStr">
        <is>
          <t>Direct Sales</t>
        </is>
      </c>
      <c r="F170" s="12" t="inlineStr">
        <is>
          <t>OPEX</t>
        </is>
      </c>
      <c r="G170" s="12" t="inlineStr">
        <is>
          <t>Operating Expenses</t>
        </is>
      </c>
      <c r="H170" s="12" t="inlineStr">
        <is>
          <t>SALARY</t>
        </is>
      </c>
      <c r="I170" s="12" t="inlineStr">
        <is>
          <t>Payroll</t>
        </is>
      </c>
      <c r="J170" s="13" t="n">
        <v>96661</v>
      </c>
    </row>
    <row r="171">
      <c r="A171" s="40" t="n">
        <v>46150</v>
      </c>
      <c r="B171" s="12" t="inlineStr">
        <is>
          <t>J41167</t>
        </is>
      </c>
      <c r="C171" s="12" t="n">
        <v>5</v>
      </c>
      <c r="D171" s="12" t="inlineStr">
        <is>
          <t>CHANNEL</t>
        </is>
      </c>
      <c r="E171" s="12" t="inlineStr">
        <is>
          <t>Distributor Channel</t>
        </is>
      </c>
      <c r="F171" s="12" t="inlineStr">
        <is>
          <t>OPEX</t>
        </is>
      </c>
      <c r="G171" s="12" t="inlineStr">
        <is>
          <t>Operating Expenses</t>
        </is>
      </c>
      <c r="H171" s="12" t="inlineStr">
        <is>
          <t>SALARY</t>
        </is>
      </c>
      <c r="I171" s="12" t="inlineStr">
        <is>
          <t>Payroll</t>
        </is>
      </c>
      <c r="J171" s="13" t="n">
        <v>47939</v>
      </c>
    </row>
    <row r="172">
      <c r="A172" s="40" t="n">
        <v>46145</v>
      </c>
      <c r="B172" s="12" t="inlineStr">
        <is>
          <t>J41168</t>
        </is>
      </c>
      <c r="C172" s="12" t="n">
        <v>5</v>
      </c>
      <c r="D172" s="12" t="inlineStr">
        <is>
          <t>SERVICE</t>
        </is>
      </c>
      <c r="E172" s="12" t="inlineStr">
        <is>
          <t>Service and Support</t>
        </is>
      </c>
      <c r="F172" s="12" t="inlineStr">
        <is>
          <t>OPEX</t>
        </is>
      </c>
      <c r="G172" s="12" t="inlineStr">
        <is>
          <t>Operating Expenses</t>
        </is>
      </c>
      <c r="H172" s="12" t="inlineStr">
        <is>
          <t>SALARY</t>
        </is>
      </c>
      <c r="I172" s="12" t="inlineStr">
        <is>
          <t>Payroll</t>
        </is>
      </c>
      <c r="J172" s="13" t="n">
        <v>26468</v>
      </c>
    </row>
    <row r="173">
      <c r="A173" s="40" t="n">
        <v>46153</v>
      </c>
      <c r="B173" s="12" t="inlineStr">
        <is>
          <t>J41169</t>
        </is>
      </c>
      <c r="C173" s="12" t="n">
        <v>5</v>
      </c>
      <c r="D173" s="12" t="inlineStr">
        <is>
          <t>SALES</t>
        </is>
      </c>
      <c r="E173" s="12" t="inlineStr">
        <is>
          <t>Direct Sales</t>
        </is>
      </c>
      <c r="F173" s="12" t="inlineStr">
        <is>
          <t>OPEX</t>
        </is>
      </c>
      <c r="G173" s="12" t="inlineStr">
        <is>
          <t>Operating Expenses</t>
        </is>
      </c>
      <c r="H173" s="12" t="inlineStr">
        <is>
          <t>RENT</t>
        </is>
      </c>
      <c r="I173" s="12" t="inlineStr">
        <is>
          <t>Rent and Facilities</t>
        </is>
      </c>
      <c r="J173" s="13" t="n">
        <v>10319</v>
      </c>
    </row>
    <row r="174">
      <c r="A174" s="40" t="n">
        <v>46152</v>
      </c>
      <c r="B174" s="12" t="inlineStr">
        <is>
          <t>J41170</t>
        </is>
      </c>
      <c r="C174" s="12" t="n">
        <v>5</v>
      </c>
      <c r="D174" s="12" t="inlineStr">
        <is>
          <t>CHANNEL</t>
        </is>
      </c>
      <c r="E174" s="12" t="inlineStr">
        <is>
          <t>Distributor Channel</t>
        </is>
      </c>
      <c r="F174" s="12" t="inlineStr">
        <is>
          <t>OPEX</t>
        </is>
      </c>
      <c r="G174" s="12" t="inlineStr">
        <is>
          <t>Operating Expenses</t>
        </is>
      </c>
      <c r="H174" s="12" t="inlineStr">
        <is>
          <t>RENT</t>
        </is>
      </c>
      <c r="I174" s="12" t="inlineStr">
        <is>
          <t>Rent and Facilities</t>
        </is>
      </c>
      <c r="J174" s="13" t="n">
        <v>9925</v>
      </c>
    </row>
    <row r="175">
      <c r="A175" s="40" t="n">
        <v>46146</v>
      </c>
      <c r="B175" s="12" t="inlineStr">
        <is>
          <t>J41171</t>
        </is>
      </c>
      <c r="C175" s="12" t="n">
        <v>5</v>
      </c>
      <c r="D175" s="12" t="inlineStr">
        <is>
          <t>SERVICE</t>
        </is>
      </c>
      <c r="E175" s="12" t="inlineStr">
        <is>
          <t>Service and Support</t>
        </is>
      </c>
      <c r="F175" s="12" t="inlineStr">
        <is>
          <t>OPEX</t>
        </is>
      </c>
      <c r="G175" s="12" t="inlineStr">
        <is>
          <t>Operating Expenses</t>
        </is>
      </c>
      <c r="H175" s="12" t="inlineStr">
        <is>
          <t>RENT</t>
        </is>
      </c>
      <c r="I175" s="12" t="inlineStr">
        <is>
          <t>Rent and Facilities</t>
        </is>
      </c>
      <c r="J175" s="13" t="n">
        <v>11003</v>
      </c>
    </row>
    <row r="176">
      <c r="A176" s="40" t="n">
        <v>46161</v>
      </c>
      <c r="B176" s="12" t="inlineStr">
        <is>
          <t>J41172</t>
        </is>
      </c>
      <c r="C176" s="12" t="n">
        <v>5</v>
      </c>
      <c r="D176" s="12" t="inlineStr">
        <is>
          <t>SALES</t>
        </is>
      </c>
      <c r="E176" s="12" t="inlineStr">
        <is>
          <t>Direct Sales</t>
        </is>
      </c>
      <c r="F176" s="12" t="inlineStr">
        <is>
          <t>OPEX</t>
        </is>
      </c>
      <c r="G176" s="12" t="inlineStr">
        <is>
          <t>Operating Expenses</t>
        </is>
      </c>
      <c r="H176" s="12" t="inlineStr">
        <is>
          <t>VEHICLE</t>
        </is>
      </c>
      <c r="I176" s="12" t="inlineStr">
        <is>
          <t>Vehicle</t>
        </is>
      </c>
      <c r="J176" s="13" t="n">
        <v>12766</v>
      </c>
    </row>
    <row r="177">
      <c r="A177" s="40" t="n">
        <v>46154</v>
      </c>
      <c r="B177" s="12" t="inlineStr">
        <is>
          <t>J41173</t>
        </is>
      </c>
      <c r="C177" s="12" t="n">
        <v>5</v>
      </c>
      <c r="D177" s="12" t="inlineStr">
        <is>
          <t>CHANNEL</t>
        </is>
      </c>
      <c r="E177" s="12" t="inlineStr">
        <is>
          <t>Distributor Channel</t>
        </is>
      </c>
      <c r="F177" s="12" t="inlineStr">
        <is>
          <t>OPEX</t>
        </is>
      </c>
      <c r="G177" s="12" t="inlineStr">
        <is>
          <t>Operating Expenses</t>
        </is>
      </c>
      <c r="H177" s="12" t="inlineStr">
        <is>
          <t>VEHICLE</t>
        </is>
      </c>
      <c r="I177" s="12" t="inlineStr">
        <is>
          <t>Vehicle</t>
        </is>
      </c>
      <c r="J177" s="13" t="n">
        <v>6092</v>
      </c>
    </row>
    <row r="178">
      <c r="A178" s="40" t="n">
        <v>46164</v>
      </c>
      <c r="B178" s="12" t="inlineStr">
        <is>
          <t>J41174</t>
        </is>
      </c>
      <c r="C178" s="12" t="n">
        <v>5</v>
      </c>
      <c r="D178" s="12" t="inlineStr">
        <is>
          <t>SERVICE</t>
        </is>
      </c>
      <c r="E178" s="12" t="inlineStr">
        <is>
          <t>Service and Support</t>
        </is>
      </c>
      <c r="F178" s="12" t="inlineStr">
        <is>
          <t>OPEX</t>
        </is>
      </c>
      <c r="G178" s="12" t="inlineStr">
        <is>
          <t>Operating Expenses</t>
        </is>
      </c>
      <c r="H178" s="12" t="inlineStr">
        <is>
          <t>VEHICLE</t>
        </is>
      </c>
      <c r="I178" s="12" t="inlineStr">
        <is>
          <t>Vehicle</t>
        </is>
      </c>
      <c r="J178" s="13" t="n">
        <v>2975</v>
      </c>
    </row>
    <row r="179">
      <c r="A179" s="40" t="n">
        <v>46161</v>
      </c>
      <c r="B179" s="12" t="inlineStr">
        <is>
          <t>J41175</t>
        </is>
      </c>
      <c r="C179" s="12" t="n">
        <v>5</v>
      </c>
      <c r="D179" s="12" t="inlineStr">
        <is>
          <t>SALES</t>
        </is>
      </c>
      <c r="E179" s="12" t="inlineStr">
        <is>
          <t>Direct Sales</t>
        </is>
      </c>
      <c r="F179" s="12" t="inlineStr">
        <is>
          <t>OPEX</t>
        </is>
      </c>
      <c r="G179" s="12" t="inlineStr">
        <is>
          <t>Operating Expenses</t>
        </is>
      </c>
      <c r="H179" s="12" t="inlineStr">
        <is>
          <t>MARKETING</t>
        </is>
      </c>
      <c r="I179" s="12" t="inlineStr">
        <is>
          <t>Marketing</t>
        </is>
      </c>
      <c r="J179" s="13" t="n">
        <v>18587</v>
      </c>
    </row>
    <row r="180">
      <c r="A180" s="40" t="n">
        <v>46157</v>
      </c>
      <c r="B180" s="12" t="inlineStr">
        <is>
          <t>J41176</t>
        </is>
      </c>
      <c r="C180" s="12" t="n">
        <v>5</v>
      </c>
      <c r="D180" s="12" t="inlineStr">
        <is>
          <t>CHANNEL</t>
        </is>
      </c>
      <c r="E180" s="12" t="inlineStr">
        <is>
          <t>Distributor Channel</t>
        </is>
      </c>
      <c r="F180" s="12" t="inlineStr">
        <is>
          <t>OPEX</t>
        </is>
      </c>
      <c r="G180" s="12" t="inlineStr">
        <is>
          <t>Operating Expenses</t>
        </is>
      </c>
      <c r="H180" s="12" t="inlineStr">
        <is>
          <t>MARKETING</t>
        </is>
      </c>
      <c r="I180" s="12" t="inlineStr">
        <is>
          <t>Marketing</t>
        </is>
      </c>
      <c r="J180" s="13" t="n">
        <v>10242</v>
      </c>
    </row>
    <row r="181">
      <c r="A181" s="40" t="n">
        <v>46152</v>
      </c>
      <c r="B181" s="12" t="inlineStr">
        <is>
          <t>J41177</t>
        </is>
      </c>
      <c r="C181" s="12" t="n">
        <v>5</v>
      </c>
      <c r="D181" s="12" t="inlineStr">
        <is>
          <t>SERVICE</t>
        </is>
      </c>
      <c r="E181" s="12" t="inlineStr">
        <is>
          <t>Service and Support</t>
        </is>
      </c>
      <c r="F181" s="12" t="inlineStr">
        <is>
          <t>OPEX</t>
        </is>
      </c>
      <c r="G181" s="12" t="inlineStr">
        <is>
          <t>Operating Expenses</t>
        </is>
      </c>
      <c r="H181" s="12" t="inlineStr">
        <is>
          <t>MARKETING</t>
        </is>
      </c>
      <c r="I181" s="12" t="inlineStr">
        <is>
          <t>Marketing</t>
        </is>
      </c>
      <c r="J181" s="13" t="n">
        <v>5569</v>
      </c>
    </row>
    <row r="182">
      <c r="A182" s="40" t="n">
        <v>46145</v>
      </c>
      <c r="B182" s="12" t="inlineStr">
        <is>
          <t>J41178</t>
        </is>
      </c>
      <c r="C182" s="12" t="n">
        <v>5</v>
      </c>
      <c r="D182" s="12" t="inlineStr">
        <is>
          <t>SALES</t>
        </is>
      </c>
      <c r="E182" s="12" t="inlineStr">
        <is>
          <t>Direct Sales</t>
        </is>
      </c>
      <c r="F182" s="12" t="inlineStr">
        <is>
          <t>OPEX</t>
        </is>
      </c>
      <c r="G182" s="12" t="inlineStr">
        <is>
          <t>Operating Expenses</t>
        </is>
      </c>
      <c r="H182" s="12" t="inlineStr">
        <is>
          <t>ENTERTAIN</t>
        </is>
      </c>
      <c r="I182" s="12" t="inlineStr">
        <is>
          <t>Entertainment</t>
        </is>
      </c>
      <c r="J182" s="13" t="n">
        <v>2654</v>
      </c>
    </row>
    <row r="183">
      <c r="A183" s="40" t="n">
        <v>46165</v>
      </c>
      <c r="B183" s="12" t="inlineStr">
        <is>
          <t>J41179</t>
        </is>
      </c>
      <c r="C183" s="12" t="n">
        <v>5</v>
      </c>
      <c r="D183" s="12" t="inlineStr">
        <is>
          <t>CHANNEL</t>
        </is>
      </c>
      <c r="E183" s="12" t="inlineStr">
        <is>
          <t>Distributor Channel</t>
        </is>
      </c>
      <c r="F183" s="12" t="inlineStr">
        <is>
          <t>OPEX</t>
        </is>
      </c>
      <c r="G183" s="12" t="inlineStr">
        <is>
          <t>Operating Expenses</t>
        </is>
      </c>
      <c r="H183" s="12" t="inlineStr">
        <is>
          <t>ENTERTAIN</t>
        </is>
      </c>
      <c r="I183" s="12" t="inlineStr">
        <is>
          <t>Entertainment</t>
        </is>
      </c>
      <c r="J183" s="13" t="n">
        <v>1443</v>
      </c>
    </row>
    <row r="184">
      <c r="A184" s="40" t="n">
        <v>46159</v>
      </c>
      <c r="B184" s="12" t="inlineStr">
        <is>
          <t>J41180</t>
        </is>
      </c>
      <c r="C184" s="12" t="n">
        <v>5</v>
      </c>
      <c r="D184" s="12" t="inlineStr">
        <is>
          <t>SERVICE</t>
        </is>
      </c>
      <c r="E184" s="12" t="inlineStr">
        <is>
          <t>Service and Support</t>
        </is>
      </c>
      <c r="F184" s="12" t="inlineStr">
        <is>
          <t>OPEX</t>
        </is>
      </c>
      <c r="G184" s="12" t="inlineStr">
        <is>
          <t>Operating Expenses</t>
        </is>
      </c>
      <c r="H184" s="12" t="inlineStr">
        <is>
          <t>ENTERTAIN</t>
        </is>
      </c>
      <c r="I184" s="12" t="inlineStr">
        <is>
          <t>Entertainment</t>
        </is>
      </c>
      <c r="J184" s="13" t="n">
        <v>694</v>
      </c>
    </row>
    <row r="185">
      <c r="A185" s="40" t="n">
        <v>46147</v>
      </c>
      <c r="B185" s="12" t="inlineStr">
        <is>
          <t>J41181</t>
        </is>
      </c>
      <c r="C185" s="12" t="n">
        <v>5</v>
      </c>
      <c r="D185" s="12" t="inlineStr">
        <is>
          <t>SALES</t>
        </is>
      </c>
      <c r="E185" s="12" t="inlineStr">
        <is>
          <t>Direct Sales</t>
        </is>
      </c>
      <c r="F185" s="12" t="inlineStr">
        <is>
          <t>OPEX</t>
        </is>
      </c>
      <c r="G185" s="12" t="inlineStr">
        <is>
          <t>Operating Expenses</t>
        </is>
      </c>
      <c r="H185" s="12" t="inlineStr">
        <is>
          <t>OFFICE</t>
        </is>
      </c>
      <c r="I185" s="12" t="inlineStr">
        <is>
          <t>Office</t>
        </is>
      </c>
      <c r="J185" s="13" t="n">
        <v>5298</v>
      </c>
    </row>
    <row r="186">
      <c r="A186" s="40" t="n">
        <v>46169</v>
      </c>
      <c r="B186" s="12" t="inlineStr">
        <is>
          <t>J41182</t>
        </is>
      </c>
      <c r="C186" s="12" t="n">
        <v>5</v>
      </c>
      <c r="D186" s="12" t="inlineStr">
        <is>
          <t>CHANNEL</t>
        </is>
      </c>
      <c r="E186" s="12" t="inlineStr">
        <is>
          <t>Distributor Channel</t>
        </is>
      </c>
      <c r="F186" s="12" t="inlineStr">
        <is>
          <t>OPEX</t>
        </is>
      </c>
      <c r="G186" s="12" t="inlineStr">
        <is>
          <t>Operating Expenses</t>
        </is>
      </c>
      <c r="H186" s="12" t="inlineStr">
        <is>
          <t>OFFICE</t>
        </is>
      </c>
      <c r="I186" s="12" t="inlineStr">
        <is>
          <t>Office</t>
        </is>
      </c>
      <c r="J186" s="13" t="n">
        <v>3304</v>
      </c>
    </row>
    <row r="187">
      <c r="A187" s="40" t="n">
        <v>46152</v>
      </c>
      <c r="B187" s="12" t="inlineStr">
        <is>
          <t>J41183</t>
        </is>
      </c>
      <c r="C187" s="12" t="n">
        <v>5</v>
      </c>
      <c r="D187" s="12" t="inlineStr">
        <is>
          <t>SERVICE</t>
        </is>
      </c>
      <c r="E187" s="12" t="inlineStr">
        <is>
          <t>Service and Support</t>
        </is>
      </c>
      <c r="F187" s="12" t="inlineStr">
        <is>
          <t>OPEX</t>
        </is>
      </c>
      <c r="G187" s="12" t="inlineStr">
        <is>
          <t>Operating Expenses</t>
        </is>
      </c>
      <c r="H187" s="12" t="inlineStr">
        <is>
          <t>OFFICE</t>
        </is>
      </c>
      <c r="I187" s="12" t="inlineStr">
        <is>
          <t>Office</t>
        </is>
      </c>
      <c r="J187" s="13" t="n">
        <v>1626</v>
      </c>
    </row>
    <row r="188">
      <c r="A188" s="40" t="n">
        <v>46155</v>
      </c>
      <c r="B188" s="12" t="inlineStr">
        <is>
          <t>J41184</t>
        </is>
      </c>
      <c r="C188" s="12" t="n">
        <v>5</v>
      </c>
      <c r="D188" s="12" t="inlineStr">
        <is>
          <t>SALES</t>
        </is>
      </c>
      <c r="E188" s="12" t="inlineStr">
        <is>
          <t>Direct Sales</t>
        </is>
      </c>
      <c r="F188" s="12" t="inlineStr">
        <is>
          <t>OPEX</t>
        </is>
      </c>
      <c r="G188" s="12" t="inlineStr">
        <is>
          <t>Operating Expenses</t>
        </is>
      </c>
      <c r="H188" s="12" t="inlineStr">
        <is>
          <t>MERCHANT</t>
        </is>
      </c>
      <c r="I188" s="12" t="inlineStr">
        <is>
          <t>Merchant Fees</t>
        </is>
      </c>
      <c r="J188" s="13" t="n">
        <v>6592</v>
      </c>
    </row>
    <row r="189">
      <c r="A189" s="40" t="n">
        <v>46165</v>
      </c>
      <c r="B189" s="12" t="inlineStr">
        <is>
          <t>J41185</t>
        </is>
      </c>
      <c r="C189" s="12" t="n">
        <v>5</v>
      </c>
      <c r="D189" s="12" t="inlineStr">
        <is>
          <t>CHANNEL</t>
        </is>
      </c>
      <c r="E189" s="12" t="inlineStr">
        <is>
          <t>Distributor Channel</t>
        </is>
      </c>
      <c r="F189" s="12" t="inlineStr">
        <is>
          <t>OPEX</t>
        </is>
      </c>
      <c r="G189" s="12" t="inlineStr">
        <is>
          <t>Operating Expenses</t>
        </is>
      </c>
      <c r="H189" s="12" t="inlineStr">
        <is>
          <t>MERCHANT</t>
        </is>
      </c>
      <c r="I189" s="12" t="inlineStr">
        <is>
          <t>Merchant Fees</t>
        </is>
      </c>
      <c r="J189" s="13" t="n">
        <v>3423</v>
      </c>
    </row>
    <row r="190">
      <c r="A190" s="40" t="n">
        <v>46151</v>
      </c>
      <c r="B190" s="12" t="inlineStr">
        <is>
          <t>J41186</t>
        </is>
      </c>
      <c r="C190" s="12" t="n">
        <v>5</v>
      </c>
      <c r="D190" s="12" t="inlineStr">
        <is>
          <t>SERVICE</t>
        </is>
      </c>
      <c r="E190" s="12" t="inlineStr">
        <is>
          <t>Service and Support</t>
        </is>
      </c>
      <c r="F190" s="12" t="inlineStr">
        <is>
          <t>OPEX</t>
        </is>
      </c>
      <c r="G190" s="12" t="inlineStr">
        <is>
          <t>Operating Expenses</t>
        </is>
      </c>
      <c r="H190" s="12" t="inlineStr">
        <is>
          <t>MERCHANT</t>
        </is>
      </c>
      <c r="I190" s="12" t="inlineStr">
        <is>
          <t>Merchant Fees</t>
        </is>
      </c>
      <c r="J190" s="13" t="n">
        <v>1907</v>
      </c>
    </row>
    <row r="191">
      <c r="A191" s="40" t="n">
        <v>46148</v>
      </c>
      <c r="B191" s="12" t="inlineStr">
        <is>
          <t>J41187</t>
        </is>
      </c>
      <c r="C191" s="12" t="n">
        <v>5</v>
      </c>
      <c r="D191" s="12" t="inlineStr">
        <is>
          <t>SALES</t>
        </is>
      </c>
      <c r="E191" s="12" t="inlineStr">
        <is>
          <t>Direct Sales</t>
        </is>
      </c>
      <c r="F191" s="12" t="inlineStr">
        <is>
          <t>OPEX</t>
        </is>
      </c>
      <c r="G191" s="12" t="inlineStr">
        <is>
          <t>Operating Expenses</t>
        </is>
      </c>
      <c r="H191" s="12" t="inlineStr">
        <is>
          <t>PROFSVC</t>
        </is>
      </c>
      <c r="I191" s="12" t="inlineStr">
        <is>
          <t>Professional Fees</t>
        </is>
      </c>
      <c r="J191" s="13" t="n">
        <v>8298</v>
      </c>
    </row>
    <row r="192">
      <c r="A192" s="40" t="n">
        <v>46162</v>
      </c>
      <c r="B192" s="12" t="inlineStr">
        <is>
          <t>J41188</t>
        </is>
      </c>
      <c r="C192" s="12" t="n">
        <v>5</v>
      </c>
      <c r="D192" s="12" t="inlineStr">
        <is>
          <t>CHANNEL</t>
        </is>
      </c>
      <c r="E192" s="12" t="inlineStr">
        <is>
          <t>Distributor Channel</t>
        </is>
      </c>
      <c r="F192" s="12" t="inlineStr">
        <is>
          <t>OPEX</t>
        </is>
      </c>
      <c r="G192" s="12" t="inlineStr">
        <is>
          <t>Operating Expenses</t>
        </is>
      </c>
      <c r="H192" s="12" t="inlineStr">
        <is>
          <t>PROFSVC</t>
        </is>
      </c>
      <c r="I192" s="12" t="inlineStr">
        <is>
          <t>Professional Fees</t>
        </is>
      </c>
      <c r="J192" s="13" t="n">
        <v>4371</v>
      </c>
    </row>
    <row r="193">
      <c r="A193" s="40" t="n">
        <v>46158</v>
      </c>
      <c r="B193" s="12" t="inlineStr">
        <is>
          <t>J41189</t>
        </is>
      </c>
      <c r="C193" s="12" t="n">
        <v>5</v>
      </c>
      <c r="D193" s="12" t="inlineStr">
        <is>
          <t>SERVICE</t>
        </is>
      </c>
      <c r="E193" s="12" t="inlineStr">
        <is>
          <t>Service and Support</t>
        </is>
      </c>
      <c r="F193" s="12" t="inlineStr">
        <is>
          <t>OPEX</t>
        </is>
      </c>
      <c r="G193" s="12" t="inlineStr">
        <is>
          <t>Operating Expenses</t>
        </is>
      </c>
      <c r="H193" s="12" t="inlineStr">
        <is>
          <t>PROFSVC</t>
        </is>
      </c>
      <c r="I193" s="12" t="inlineStr">
        <is>
          <t>Professional Fees</t>
        </is>
      </c>
      <c r="J193" s="13" t="n">
        <v>2111</v>
      </c>
    </row>
    <row r="194">
      <c r="A194" s="40" t="n">
        <v>46156</v>
      </c>
      <c r="B194" s="12" t="inlineStr">
        <is>
          <t>J41190</t>
        </is>
      </c>
      <c r="C194" s="12" t="n">
        <v>5</v>
      </c>
      <c r="D194" s="12" t="inlineStr">
        <is>
          <t>SALES</t>
        </is>
      </c>
      <c r="E194" s="12" t="inlineStr">
        <is>
          <t>Direct Sales</t>
        </is>
      </c>
      <c r="F194" s="12" t="inlineStr">
        <is>
          <t>OPEX</t>
        </is>
      </c>
      <c r="G194" s="12" t="inlineStr">
        <is>
          <t>Operating Expenses</t>
        </is>
      </c>
      <c r="H194" s="12" t="inlineStr">
        <is>
          <t>DEPREC</t>
        </is>
      </c>
      <c r="I194" s="12" t="inlineStr">
        <is>
          <t>Depreciation</t>
        </is>
      </c>
      <c r="J194" s="13" t="n">
        <v>5362</v>
      </c>
    </row>
    <row r="195">
      <c r="A195" s="40" t="n">
        <v>46168</v>
      </c>
      <c r="B195" s="12" t="inlineStr">
        <is>
          <t>J41191</t>
        </is>
      </c>
      <c r="C195" s="12" t="n">
        <v>5</v>
      </c>
      <c r="D195" s="12" t="inlineStr">
        <is>
          <t>CHANNEL</t>
        </is>
      </c>
      <c r="E195" s="12" t="inlineStr">
        <is>
          <t>Distributor Channel</t>
        </is>
      </c>
      <c r="F195" s="12" t="inlineStr">
        <is>
          <t>OPEX</t>
        </is>
      </c>
      <c r="G195" s="12" t="inlineStr">
        <is>
          <t>Operating Expenses</t>
        </is>
      </c>
      <c r="H195" s="12" t="inlineStr">
        <is>
          <t>DEPREC</t>
        </is>
      </c>
      <c r="I195" s="12" t="inlineStr">
        <is>
          <t>Depreciation</t>
        </is>
      </c>
      <c r="J195" s="13" t="n">
        <v>4879</v>
      </c>
    </row>
    <row r="196">
      <c r="A196" s="40" t="n">
        <v>46153</v>
      </c>
      <c r="B196" s="12" t="inlineStr">
        <is>
          <t>J41192</t>
        </is>
      </c>
      <c r="C196" s="12" t="n">
        <v>5</v>
      </c>
      <c r="D196" s="12" t="inlineStr">
        <is>
          <t>SERVICE</t>
        </is>
      </c>
      <c r="E196" s="12" t="inlineStr">
        <is>
          <t>Service and Support</t>
        </is>
      </c>
      <c r="F196" s="12" t="inlineStr">
        <is>
          <t>OPEX</t>
        </is>
      </c>
      <c r="G196" s="12" t="inlineStr">
        <is>
          <t>Operating Expenses</t>
        </is>
      </c>
      <c r="H196" s="12" t="inlineStr">
        <is>
          <t>DEPREC</t>
        </is>
      </c>
      <c r="I196" s="12" t="inlineStr">
        <is>
          <t>Depreciation</t>
        </is>
      </c>
      <c r="J196" s="13" t="n">
        <v>4868</v>
      </c>
    </row>
    <row r="197">
      <c r="A197" s="40" t="n">
        <v>46152</v>
      </c>
      <c r="B197" s="12" t="inlineStr">
        <is>
          <t>J41193</t>
        </is>
      </c>
      <c r="C197" s="12" t="n">
        <v>5</v>
      </c>
      <c r="D197" s="12" t="inlineStr">
        <is>
          <t>SALES</t>
        </is>
      </c>
      <c r="E197" s="12" t="inlineStr">
        <is>
          <t>Direct Sales</t>
        </is>
      </c>
      <c r="F197" s="12" t="inlineStr">
        <is>
          <t>OPEX</t>
        </is>
      </c>
      <c r="G197" s="12" t="inlineStr">
        <is>
          <t>Operating Expenses</t>
        </is>
      </c>
      <c r="H197" s="12" t="inlineStr">
        <is>
          <t>FINANCE</t>
        </is>
      </c>
      <c r="I197" s="12" t="inlineStr">
        <is>
          <t>Finance Costs</t>
        </is>
      </c>
      <c r="J197" s="13" t="n">
        <v>2822</v>
      </c>
    </row>
    <row r="198">
      <c r="A198" s="40" t="n">
        <v>46164</v>
      </c>
      <c r="B198" s="12" t="inlineStr">
        <is>
          <t>J41194</t>
        </is>
      </c>
      <c r="C198" s="12" t="n">
        <v>5</v>
      </c>
      <c r="D198" s="12" t="inlineStr">
        <is>
          <t>CHANNEL</t>
        </is>
      </c>
      <c r="E198" s="12" t="inlineStr">
        <is>
          <t>Distributor Channel</t>
        </is>
      </c>
      <c r="F198" s="12" t="inlineStr">
        <is>
          <t>OPEX</t>
        </is>
      </c>
      <c r="G198" s="12" t="inlineStr">
        <is>
          <t>Operating Expenses</t>
        </is>
      </c>
      <c r="H198" s="12" t="inlineStr">
        <is>
          <t>FINANCE</t>
        </is>
      </c>
      <c r="I198" s="12" t="inlineStr">
        <is>
          <t>Finance Costs</t>
        </is>
      </c>
      <c r="J198" s="13" t="n">
        <v>2656</v>
      </c>
    </row>
    <row r="199">
      <c r="A199" s="40" t="n">
        <v>46157</v>
      </c>
      <c r="B199" s="12" t="inlineStr">
        <is>
          <t>J41195</t>
        </is>
      </c>
      <c r="C199" s="12" t="n">
        <v>5</v>
      </c>
      <c r="D199" s="12" t="inlineStr">
        <is>
          <t>SERVICE</t>
        </is>
      </c>
      <c r="E199" s="12" t="inlineStr">
        <is>
          <t>Service and Support</t>
        </is>
      </c>
      <c r="F199" s="12" t="inlineStr">
        <is>
          <t>OPEX</t>
        </is>
      </c>
      <c r="G199" s="12" t="inlineStr">
        <is>
          <t>Operating Expenses</t>
        </is>
      </c>
      <c r="H199" s="12" t="inlineStr">
        <is>
          <t>FINANCE</t>
        </is>
      </c>
      <c r="I199" s="12" t="inlineStr">
        <is>
          <t>Finance Costs</t>
        </is>
      </c>
      <c r="J199" s="13" t="n">
        <v>2431</v>
      </c>
    </row>
    <row r="200">
      <c r="A200" s="40" t="n">
        <v>46195</v>
      </c>
      <c r="B200" s="12" t="inlineStr">
        <is>
          <t>J41196</t>
        </is>
      </c>
      <c r="C200" s="12" t="n">
        <v>6</v>
      </c>
      <c r="D200" s="12" t="inlineStr">
        <is>
          <t>SALES</t>
        </is>
      </c>
      <c r="E200" s="12" t="inlineStr">
        <is>
          <t>Direct Sales</t>
        </is>
      </c>
      <c r="F200" s="12" t="inlineStr">
        <is>
          <t>REVENUE</t>
        </is>
      </c>
      <c r="G200" s="12" t="inlineStr">
        <is>
          <t>Revenue</t>
        </is>
      </c>
      <c r="H200" s="12" t="inlineStr">
        <is>
          <t>REVENUE_PROD</t>
        </is>
      </c>
      <c r="I200" s="12" t="inlineStr">
        <is>
          <t>Product Revenue</t>
        </is>
      </c>
      <c r="J200" s="13" t="n">
        <v>573085</v>
      </c>
    </row>
    <row r="201">
      <c r="A201" s="40" t="n">
        <v>46187</v>
      </c>
      <c r="B201" s="12" t="inlineStr">
        <is>
          <t>J41197</t>
        </is>
      </c>
      <c r="C201" s="12" t="n">
        <v>6</v>
      </c>
      <c r="D201" s="12" t="inlineStr">
        <is>
          <t>CHANNEL</t>
        </is>
      </c>
      <c r="E201" s="12" t="inlineStr">
        <is>
          <t>Distributor Channel</t>
        </is>
      </c>
      <c r="F201" s="12" t="inlineStr">
        <is>
          <t>REVENUE</t>
        </is>
      </c>
      <c r="G201" s="12" t="inlineStr">
        <is>
          <t>Revenue</t>
        </is>
      </c>
      <c r="H201" s="12" t="inlineStr">
        <is>
          <t>REVENUE_PROD</t>
        </is>
      </c>
      <c r="I201" s="12" t="inlineStr">
        <is>
          <t>Product Revenue</t>
        </is>
      </c>
      <c r="J201" s="13" t="n">
        <v>290302</v>
      </c>
    </row>
    <row r="202">
      <c r="A202" s="40" t="n">
        <v>46184</v>
      </c>
      <c r="B202" s="12" t="inlineStr">
        <is>
          <t>J41198</t>
        </is>
      </c>
      <c r="C202" s="12" t="n">
        <v>6</v>
      </c>
      <c r="D202" s="12" t="inlineStr">
        <is>
          <t>SERVICE</t>
        </is>
      </c>
      <c r="E202" s="12" t="inlineStr">
        <is>
          <t>Service and Support</t>
        </is>
      </c>
      <c r="F202" s="12" t="inlineStr">
        <is>
          <t>REVENUE</t>
        </is>
      </c>
      <c r="G202" s="12" t="inlineStr">
        <is>
          <t>Revenue</t>
        </is>
      </c>
      <c r="H202" s="12" t="inlineStr">
        <is>
          <t>REVENUE_PROD</t>
        </is>
      </c>
      <c r="I202" s="12" t="inlineStr">
        <is>
          <t>Product Revenue</t>
        </is>
      </c>
      <c r="J202" s="13" t="n">
        <v>156921</v>
      </c>
    </row>
    <row r="203">
      <c r="A203" s="40" t="n">
        <v>46197</v>
      </c>
      <c r="B203" s="12" t="inlineStr">
        <is>
          <t>J41199</t>
        </is>
      </c>
      <c r="C203" s="12" t="n">
        <v>6</v>
      </c>
      <c r="D203" s="12" t="inlineStr">
        <is>
          <t>SALES</t>
        </is>
      </c>
      <c r="E203" s="12" t="inlineStr">
        <is>
          <t>Direct Sales</t>
        </is>
      </c>
      <c r="F203" s="12" t="inlineStr">
        <is>
          <t>REVENUE</t>
        </is>
      </c>
      <c r="G203" s="12" t="inlineStr">
        <is>
          <t>Revenue</t>
        </is>
      </c>
      <c r="H203" s="12" t="inlineStr">
        <is>
          <t>REVENUE_SVC</t>
        </is>
      </c>
      <c r="I203" s="12" t="inlineStr">
        <is>
          <t>Service Revenue</t>
        </is>
      </c>
      <c r="J203" s="13" t="n">
        <v>4932</v>
      </c>
    </row>
    <row r="204">
      <c r="A204" s="40" t="n">
        <v>46193</v>
      </c>
      <c r="B204" s="12" t="inlineStr">
        <is>
          <t>J41200</t>
        </is>
      </c>
      <c r="C204" s="12" t="n">
        <v>6</v>
      </c>
      <c r="D204" s="12" t="inlineStr">
        <is>
          <t>CHANNEL</t>
        </is>
      </c>
      <c r="E204" s="12" t="inlineStr">
        <is>
          <t>Distributor Channel</t>
        </is>
      </c>
      <c r="F204" s="12" t="inlineStr">
        <is>
          <t>REVENUE</t>
        </is>
      </c>
      <c r="G204" s="12" t="inlineStr">
        <is>
          <t>Revenue</t>
        </is>
      </c>
      <c r="H204" s="12" t="inlineStr">
        <is>
          <t>REVENUE_SVC</t>
        </is>
      </c>
      <c r="I204" s="12" t="inlineStr">
        <is>
          <t>Service Revenue</t>
        </is>
      </c>
      <c r="J204" s="13" t="n">
        <v>5370</v>
      </c>
    </row>
    <row r="205">
      <c r="A205" s="40" t="n">
        <v>46200</v>
      </c>
      <c r="B205" s="12" t="inlineStr">
        <is>
          <t>J41201</t>
        </is>
      </c>
      <c r="C205" s="12" t="n">
        <v>6</v>
      </c>
      <c r="D205" s="12" t="inlineStr">
        <is>
          <t>SERVICE</t>
        </is>
      </c>
      <c r="E205" s="12" t="inlineStr">
        <is>
          <t>Service and Support</t>
        </is>
      </c>
      <c r="F205" s="12" t="inlineStr">
        <is>
          <t>REVENUE</t>
        </is>
      </c>
      <c r="G205" s="12" t="inlineStr">
        <is>
          <t>Revenue</t>
        </is>
      </c>
      <c r="H205" s="12" t="inlineStr">
        <is>
          <t>REVENUE_SVC</t>
        </is>
      </c>
      <c r="I205" s="12" t="inlineStr">
        <is>
          <t>Service Revenue</t>
        </is>
      </c>
      <c r="J205" s="13" t="n">
        <v>89574</v>
      </c>
    </row>
    <row r="206">
      <c r="A206" s="40" t="n">
        <v>46200</v>
      </c>
      <c r="B206" s="12" t="inlineStr">
        <is>
          <t>J41202</t>
        </is>
      </c>
      <c r="C206" s="12" t="n">
        <v>6</v>
      </c>
      <c r="D206" s="12" t="inlineStr">
        <is>
          <t>SALES</t>
        </is>
      </c>
      <c r="E206" s="12" t="inlineStr">
        <is>
          <t>Direct Sales</t>
        </is>
      </c>
      <c r="F206" s="12" t="inlineStr">
        <is>
          <t>COGS</t>
        </is>
      </c>
      <c r="G206" s="12" t="inlineStr">
        <is>
          <t>Cost of Sales</t>
        </is>
      </c>
      <c r="H206" s="12" t="inlineStr">
        <is>
          <t>COGS</t>
        </is>
      </c>
      <c r="I206" s="12" t="inlineStr">
        <is>
          <t>Cost of Goods Sold</t>
        </is>
      </c>
      <c r="J206" s="13" t="n">
        <v>401652</v>
      </c>
    </row>
    <row r="207">
      <c r="A207" s="40" t="n">
        <v>46188</v>
      </c>
      <c r="B207" s="12" t="inlineStr">
        <is>
          <t>J41203</t>
        </is>
      </c>
      <c r="C207" s="12" t="n">
        <v>6</v>
      </c>
      <c r="D207" s="12" t="inlineStr">
        <is>
          <t>CHANNEL</t>
        </is>
      </c>
      <c r="E207" s="12" t="inlineStr">
        <is>
          <t>Distributor Channel</t>
        </is>
      </c>
      <c r="F207" s="12" t="inlineStr">
        <is>
          <t>COGS</t>
        </is>
      </c>
      <c r="G207" s="12" t="inlineStr">
        <is>
          <t>Cost of Sales</t>
        </is>
      </c>
      <c r="H207" s="12" t="inlineStr">
        <is>
          <t>COGS</t>
        </is>
      </c>
      <c r="I207" s="12" t="inlineStr">
        <is>
          <t>Cost of Goods Sold</t>
        </is>
      </c>
      <c r="J207" s="13" t="n">
        <v>232019</v>
      </c>
    </row>
    <row r="208">
      <c r="A208" s="40" t="n">
        <v>46183</v>
      </c>
      <c r="B208" s="12" t="inlineStr">
        <is>
          <t>J41204</t>
        </is>
      </c>
      <c r="C208" s="12" t="n">
        <v>6</v>
      </c>
      <c r="D208" s="12" t="inlineStr">
        <is>
          <t>SERVICE</t>
        </is>
      </c>
      <c r="E208" s="12" t="inlineStr">
        <is>
          <t>Service and Support</t>
        </is>
      </c>
      <c r="F208" s="12" t="inlineStr">
        <is>
          <t>COGS</t>
        </is>
      </c>
      <c r="G208" s="12" t="inlineStr">
        <is>
          <t>Cost of Sales</t>
        </is>
      </c>
      <c r="H208" s="12" t="inlineStr">
        <is>
          <t>COGS</t>
        </is>
      </c>
      <c r="I208" s="12" t="inlineStr">
        <is>
          <t>Cost of Goods Sold</t>
        </is>
      </c>
      <c r="J208" s="13" t="n">
        <v>106883</v>
      </c>
    </row>
    <row r="209">
      <c r="A209" s="40" t="n">
        <v>46196</v>
      </c>
      <c r="B209" s="12" t="inlineStr">
        <is>
          <t>J41205</t>
        </is>
      </c>
      <c r="C209" s="12" t="n">
        <v>6</v>
      </c>
      <c r="D209" s="12" t="inlineStr">
        <is>
          <t>SALES</t>
        </is>
      </c>
      <c r="E209" s="12" t="inlineStr">
        <is>
          <t>Direct Sales</t>
        </is>
      </c>
      <c r="F209" s="12" t="inlineStr">
        <is>
          <t>OPEX</t>
        </is>
      </c>
      <c r="G209" s="12" t="inlineStr">
        <is>
          <t>Operating Expenses</t>
        </is>
      </c>
      <c r="H209" s="12" t="inlineStr">
        <is>
          <t>SALARY</t>
        </is>
      </c>
      <c r="I209" s="12" t="inlineStr">
        <is>
          <t>Payroll</t>
        </is>
      </c>
      <c r="J209" s="13" t="n">
        <v>106717</v>
      </c>
    </row>
    <row r="210">
      <c r="A210" s="40" t="n">
        <v>46193</v>
      </c>
      <c r="B210" s="12" t="inlineStr">
        <is>
          <t>J41206</t>
        </is>
      </c>
      <c r="C210" s="12" t="n">
        <v>6</v>
      </c>
      <c r="D210" s="12" t="inlineStr">
        <is>
          <t>CHANNEL</t>
        </is>
      </c>
      <c r="E210" s="12" t="inlineStr">
        <is>
          <t>Distributor Channel</t>
        </is>
      </c>
      <c r="F210" s="12" t="inlineStr">
        <is>
          <t>OPEX</t>
        </is>
      </c>
      <c r="G210" s="12" t="inlineStr">
        <is>
          <t>Operating Expenses</t>
        </is>
      </c>
      <c r="H210" s="12" t="inlineStr">
        <is>
          <t>SALARY</t>
        </is>
      </c>
      <c r="I210" s="12" t="inlineStr">
        <is>
          <t>Payroll</t>
        </is>
      </c>
      <c r="J210" s="13" t="n">
        <v>52414</v>
      </c>
    </row>
    <row r="211">
      <c r="A211" s="40" t="n">
        <v>46179</v>
      </c>
      <c r="B211" s="12" t="inlineStr">
        <is>
          <t>J41207</t>
        </is>
      </c>
      <c r="C211" s="12" t="n">
        <v>6</v>
      </c>
      <c r="D211" s="12" t="inlineStr">
        <is>
          <t>SERVICE</t>
        </is>
      </c>
      <c r="E211" s="12" t="inlineStr">
        <is>
          <t>Service and Support</t>
        </is>
      </c>
      <c r="F211" s="12" t="inlineStr">
        <is>
          <t>OPEX</t>
        </is>
      </c>
      <c r="G211" s="12" t="inlineStr">
        <is>
          <t>Operating Expenses</t>
        </is>
      </c>
      <c r="H211" s="12" t="inlineStr">
        <is>
          <t>SALARY</t>
        </is>
      </c>
      <c r="I211" s="12" t="inlineStr">
        <is>
          <t>Payroll</t>
        </is>
      </c>
      <c r="J211" s="13" t="n">
        <v>29679</v>
      </c>
    </row>
    <row r="212">
      <c r="A212" s="40" t="n">
        <v>46186</v>
      </c>
      <c r="B212" s="12" t="inlineStr">
        <is>
          <t>J41208</t>
        </is>
      </c>
      <c r="C212" s="12" t="n">
        <v>6</v>
      </c>
      <c r="D212" s="12" t="inlineStr">
        <is>
          <t>SALES</t>
        </is>
      </c>
      <c r="E212" s="12" t="inlineStr">
        <is>
          <t>Direct Sales</t>
        </is>
      </c>
      <c r="F212" s="12" t="inlineStr">
        <is>
          <t>OPEX</t>
        </is>
      </c>
      <c r="G212" s="12" t="inlineStr">
        <is>
          <t>Operating Expenses</t>
        </is>
      </c>
      <c r="H212" s="12" t="inlineStr">
        <is>
          <t>RENT</t>
        </is>
      </c>
      <c r="I212" s="12" t="inlineStr">
        <is>
          <t>Rent and Facilities</t>
        </is>
      </c>
      <c r="J212" s="13" t="n">
        <v>11084</v>
      </c>
    </row>
    <row r="213">
      <c r="A213" s="40" t="n">
        <v>46195</v>
      </c>
      <c r="B213" s="12" t="inlineStr">
        <is>
          <t>J41209</t>
        </is>
      </c>
      <c r="C213" s="12" t="n">
        <v>6</v>
      </c>
      <c r="D213" s="12" t="inlineStr">
        <is>
          <t>CHANNEL</t>
        </is>
      </c>
      <c r="E213" s="12" t="inlineStr">
        <is>
          <t>Distributor Channel</t>
        </is>
      </c>
      <c r="F213" s="12" t="inlineStr">
        <is>
          <t>OPEX</t>
        </is>
      </c>
      <c r="G213" s="12" t="inlineStr">
        <is>
          <t>Operating Expenses</t>
        </is>
      </c>
      <c r="H213" s="12" t="inlineStr">
        <is>
          <t>RENT</t>
        </is>
      </c>
      <c r="I213" s="12" t="inlineStr">
        <is>
          <t>Rent and Facilities</t>
        </is>
      </c>
      <c r="J213" s="13" t="n">
        <v>12216</v>
      </c>
    </row>
    <row r="214">
      <c r="A214" s="40" t="n">
        <v>46189</v>
      </c>
      <c r="B214" s="12" t="inlineStr">
        <is>
          <t>J41210</t>
        </is>
      </c>
      <c r="C214" s="12" t="n">
        <v>6</v>
      </c>
      <c r="D214" s="12" t="inlineStr">
        <is>
          <t>SERVICE</t>
        </is>
      </c>
      <c r="E214" s="12" t="inlineStr">
        <is>
          <t>Service and Support</t>
        </is>
      </c>
      <c r="F214" s="12" t="inlineStr">
        <is>
          <t>OPEX</t>
        </is>
      </c>
      <c r="G214" s="12" t="inlineStr">
        <is>
          <t>Operating Expenses</t>
        </is>
      </c>
      <c r="H214" s="12" t="inlineStr">
        <is>
          <t>RENT</t>
        </is>
      </c>
      <c r="I214" s="12" t="inlineStr">
        <is>
          <t>Rent and Facilities</t>
        </is>
      </c>
      <c r="J214" s="13" t="n">
        <v>12445</v>
      </c>
    </row>
    <row r="215">
      <c r="A215" s="40" t="n">
        <v>46175</v>
      </c>
      <c r="B215" s="12" t="inlineStr">
        <is>
          <t>J41211</t>
        </is>
      </c>
      <c r="C215" s="12" t="n">
        <v>6</v>
      </c>
      <c r="D215" s="12" t="inlineStr">
        <is>
          <t>SALES</t>
        </is>
      </c>
      <c r="E215" s="12" t="inlineStr">
        <is>
          <t>Direct Sales</t>
        </is>
      </c>
      <c r="F215" s="12" t="inlineStr">
        <is>
          <t>OPEX</t>
        </is>
      </c>
      <c r="G215" s="12" t="inlineStr">
        <is>
          <t>Operating Expenses</t>
        </is>
      </c>
      <c r="H215" s="12" t="inlineStr">
        <is>
          <t>VEHICLE</t>
        </is>
      </c>
      <c r="I215" s="12" t="inlineStr">
        <is>
          <t>Vehicle</t>
        </is>
      </c>
      <c r="J215" s="13" t="n">
        <v>13951</v>
      </c>
    </row>
    <row r="216">
      <c r="A216" s="40" t="n">
        <v>46196</v>
      </c>
      <c r="B216" s="12" t="inlineStr">
        <is>
          <t>J41212</t>
        </is>
      </c>
      <c r="C216" s="12" t="n">
        <v>6</v>
      </c>
      <c r="D216" s="12" t="inlineStr">
        <is>
          <t>CHANNEL</t>
        </is>
      </c>
      <c r="E216" s="12" t="inlineStr">
        <is>
          <t>Distributor Channel</t>
        </is>
      </c>
      <c r="F216" s="12" t="inlineStr">
        <is>
          <t>OPEX</t>
        </is>
      </c>
      <c r="G216" s="12" t="inlineStr">
        <is>
          <t>Operating Expenses</t>
        </is>
      </c>
      <c r="H216" s="12" t="inlineStr">
        <is>
          <t>VEHICLE</t>
        </is>
      </c>
      <c r="I216" s="12" t="inlineStr">
        <is>
          <t>Vehicle</t>
        </is>
      </c>
      <c r="J216" s="13" t="n">
        <v>7210</v>
      </c>
    </row>
    <row r="217">
      <c r="A217" s="40" t="n">
        <v>46178</v>
      </c>
      <c r="B217" s="12" t="inlineStr">
        <is>
          <t>J41213</t>
        </is>
      </c>
      <c r="C217" s="12" t="n">
        <v>6</v>
      </c>
      <c r="D217" s="12" t="inlineStr">
        <is>
          <t>SERVICE</t>
        </is>
      </c>
      <c r="E217" s="12" t="inlineStr">
        <is>
          <t>Service and Support</t>
        </is>
      </c>
      <c r="F217" s="12" t="inlineStr">
        <is>
          <t>OPEX</t>
        </is>
      </c>
      <c r="G217" s="12" t="inlineStr">
        <is>
          <t>Operating Expenses</t>
        </is>
      </c>
      <c r="H217" s="12" t="inlineStr">
        <is>
          <t>VEHICLE</t>
        </is>
      </c>
      <c r="I217" s="12" t="inlineStr">
        <is>
          <t>Vehicle</t>
        </is>
      </c>
      <c r="J217" s="13" t="n">
        <v>3333</v>
      </c>
    </row>
    <row r="218">
      <c r="A218" s="40" t="n">
        <v>46176</v>
      </c>
      <c r="B218" s="12" t="inlineStr">
        <is>
          <t>J41214</t>
        </is>
      </c>
      <c r="C218" s="12" t="n">
        <v>6</v>
      </c>
      <c r="D218" s="12" t="inlineStr">
        <is>
          <t>SALES</t>
        </is>
      </c>
      <c r="E218" s="12" t="inlineStr">
        <is>
          <t>Direct Sales</t>
        </is>
      </c>
      <c r="F218" s="12" t="inlineStr">
        <is>
          <t>OPEX</t>
        </is>
      </c>
      <c r="G218" s="12" t="inlineStr">
        <is>
          <t>Operating Expenses</t>
        </is>
      </c>
      <c r="H218" s="12" t="inlineStr">
        <is>
          <t>MARKETING</t>
        </is>
      </c>
      <c r="I218" s="12" t="inlineStr">
        <is>
          <t>Marketing</t>
        </is>
      </c>
      <c r="J218" s="13" t="n">
        <v>21479</v>
      </c>
    </row>
    <row r="219">
      <c r="A219" s="40" t="n">
        <v>46187</v>
      </c>
      <c r="B219" s="12" t="inlineStr">
        <is>
          <t>J41215</t>
        </is>
      </c>
      <c r="C219" s="12" t="n">
        <v>6</v>
      </c>
      <c r="D219" s="12" t="inlineStr">
        <is>
          <t>CHANNEL</t>
        </is>
      </c>
      <c r="E219" s="12" t="inlineStr">
        <is>
          <t>Distributor Channel</t>
        </is>
      </c>
      <c r="F219" s="12" t="inlineStr">
        <is>
          <t>OPEX</t>
        </is>
      </c>
      <c r="G219" s="12" t="inlineStr">
        <is>
          <t>Operating Expenses</t>
        </is>
      </c>
      <c r="H219" s="12" t="inlineStr">
        <is>
          <t>MARKETING</t>
        </is>
      </c>
      <c r="I219" s="12" t="inlineStr">
        <is>
          <t>Marketing</t>
        </is>
      </c>
      <c r="J219" s="13" t="n">
        <v>10837</v>
      </c>
    </row>
    <row r="220">
      <c r="A220" s="40" t="n">
        <v>46197</v>
      </c>
      <c r="B220" s="12" t="inlineStr">
        <is>
          <t>J41216</t>
        </is>
      </c>
      <c r="C220" s="12" t="n">
        <v>6</v>
      </c>
      <c r="D220" s="12" t="inlineStr">
        <is>
          <t>SERVICE</t>
        </is>
      </c>
      <c r="E220" s="12" t="inlineStr">
        <is>
          <t>Service and Support</t>
        </is>
      </c>
      <c r="F220" s="12" t="inlineStr">
        <is>
          <t>OPEX</t>
        </is>
      </c>
      <c r="G220" s="12" t="inlineStr">
        <is>
          <t>Operating Expenses</t>
        </is>
      </c>
      <c r="H220" s="12" t="inlineStr">
        <is>
          <t>MARKETING</t>
        </is>
      </c>
      <c r="I220" s="12" t="inlineStr">
        <is>
          <t>Marketing</t>
        </is>
      </c>
      <c r="J220" s="13" t="n">
        <v>5333</v>
      </c>
    </row>
    <row r="221">
      <c r="A221" s="40" t="n">
        <v>46176</v>
      </c>
      <c r="B221" s="12" t="inlineStr">
        <is>
          <t>J41217</t>
        </is>
      </c>
      <c r="C221" s="12" t="n">
        <v>6</v>
      </c>
      <c r="D221" s="12" t="inlineStr">
        <is>
          <t>SALES</t>
        </is>
      </c>
      <c r="E221" s="12" t="inlineStr">
        <is>
          <t>Direct Sales</t>
        </is>
      </c>
      <c r="F221" s="12" t="inlineStr">
        <is>
          <t>OPEX</t>
        </is>
      </c>
      <c r="G221" s="12" t="inlineStr">
        <is>
          <t>Operating Expenses</t>
        </is>
      </c>
      <c r="H221" s="12" t="inlineStr">
        <is>
          <t>ENTERTAIN</t>
        </is>
      </c>
      <c r="I221" s="12" t="inlineStr">
        <is>
          <t>Entertainment</t>
        </is>
      </c>
      <c r="J221" s="13" t="n">
        <v>2737</v>
      </c>
    </row>
    <row r="222">
      <c r="A222" s="40" t="n">
        <v>46193</v>
      </c>
      <c r="B222" s="12" t="inlineStr">
        <is>
          <t>J41218</t>
        </is>
      </c>
      <c r="C222" s="12" t="n">
        <v>6</v>
      </c>
      <c r="D222" s="12" t="inlineStr">
        <is>
          <t>CHANNEL</t>
        </is>
      </c>
      <c r="E222" s="12" t="inlineStr">
        <is>
          <t>Distributor Channel</t>
        </is>
      </c>
      <c r="F222" s="12" t="inlineStr">
        <is>
          <t>OPEX</t>
        </is>
      </c>
      <c r="G222" s="12" t="inlineStr">
        <is>
          <t>Operating Expenses</t>
        </is>
      </c>
      <c r="H222" s="12" t="inlineStr">
        <is>
          <t>ENTERTAIN</t>
        </is>
      </c>
      <c r="I222" s="12" t="inlineStr">
        <is>
          <t>Entertainment</t>
        </is>
      </c>
      <c r="J222" s="13" t="n">
        <v>1751</v>
      </c>
    </row>
    <row r="223">
      <c r="A223" s="40" t="n">
        <v>46182</v>
      </c>
      <c r="B223" s="12" t="inlineStr">
        <is>
          <t>J41219</t>
        </is>
      </c>
      <c r="C223" s="12" t="n">
        <v>6</v>
      </c>
      <c r="D223" s="12" t="inlineStr">
        <is>
          <t>SERVICE</t>
        </is>
      </c>
      <c r="E223" s="12" t="inlineStr">
        <is>
          <t>Service and Support</t>
        </is>
      </c>
      <c r="F223" s="12" t="inlineStr">
        <is>
          <t>OPEX</t>
        </is>
      </c>
      <c r="G223" s="12" t="inlineStr">
        <is>
          <t>Operating Expenses</t>
        </is>
      </c>
      <c r="H223" s="12" t="inlineStr">
        <is>
          <t>ENTERTAIN</t>
        </is>
      </c>
      <c r="I223" s="12" t="inlineStr">
        <is>
          <t>Entertainment</t>
        </is>
      </c>
      <c r="J223" s="13" t="n">
        <v>837</v>
      </c>
    </row>
    <row r="224">
      <c r="A224" s="40" t="n">
        <v>46191</v>
      </c>
      <c r="B224" s="12" t="inlineStr">
        <is>
          <t>J41220</t>
        </is>
      </c>
      <c r="C224" s="12" t="n">
        <v>6</v>
      </c>
      <c r="D224" s="12" t="inlineStr">
        <is>
          <t>SALES</t>
        </is>
      </c>
      <c r="E224" s="12" t="inlineStr">
        <is>
          <t>Direct Sales</t>
        </is>
      </c>
      <c r="F224" s="12" t="inlineStr">
        <is>
          <t>OPEX</t>
        </is>
      </c>
      <c r="G224" s="12" t="inlineStr">
        <is>
          <t>Operating Expenses</t>
        </is>
      </c>
      <c r="H224" s="12" t="inlineStr">
        <is>
          <t>OFFICE</t>
        </is>
      </c>
      <c r="I224" s="12" t="inlineStr">
        <is>
          <t>Office</t>
        </is>
      </c>
      <c r="J224" s="13" t="n">
        <v>5748</v>
      </c>
    </row>
    <row r="225">
      <c r="A225" s="40" t="n">
        <v>46192</v>
      </c>
      <c r="B225" s="12" t="inlineStr">
        <is>
          <t>J41221</t>
        </is>
      </c>
      <c r="C225" s="12" t="n">
        <v>6</v>
      </c>
      <c r="D225" s="12" t="inlineStr">
        <is>
          <t>CHANNEL</t>
        </is>
      </c>
      <c r="E225" s="12" t="inlineStr">
        <is>
          <t>Distributor Channel</t>
        </is>
      </c>
      <c r="F225" s="12" t="inlineStr">
        <is>
          <t>OPEX</t>
        </is>
      </c>
      <c r="G225" s="12" t="inlineStr">
        <is>
          <t>Operating Expenses</t>
        </is>
      </c>
      <c r="H225" s="12" t="inlineStr">
        <is>
          <t>OFFICE</t>
        </is>
      </c>
      <c r="I225" s="12" t="inlineStr">
        <is>
          <t>Office</t>
        </is>
      </c>
      <c r="J225" s="13" t="n">
        <v>3047</v>
      </c>
    </row>
    <row r="226">
      <c r="A226" s="40" t="n">
        <v>46195</v>
      </c>
      <c r="B226" s="12" t="inlineStr">
        <is>
          <t>J41222</t>
        </is>
      </c>
      <c r="C226" s="12" t="n">
        <v>6</v>
      </c>
      <c r="D226" s="12" t="inlineStr">
        <is>
          <t>SERVICE</t>
        </is>
      </c>
      <c r="E226" s="12" t="inlineStr">
        <is>
          <t>Service and Support</t>
        </is>
      </c>
      <c r="F226" s="12" t="inlineStr">
        <is>
          <t>OPEX</t>
        </is>
      </c>
      <c r="G226" s="12" t="inlineStr">
        <is>
          <t>Operating Expenses</t>
        </is>
      </c>
      <c r="H226" s="12" t="inlineStr">
        <is>
          <t>OFFICE</t>
        </is>
      </c>
      <c r="I226" s="12" t="inlineStr">
        <is>
          <t>Office</t>
        </is>
      </c>
      <c r="J226" s="13" t="n">
        <v>1776</v>
      </c>
    </row>
    <row r="227">
      <c r="A227" s="40" t="n">
        <v>46183</v>
      </c>
      <c r="B227" s="12" t="inlineStr">
        <is>
          <t>J41223</t>
        </is>
      </c>
      <c r="C227" s="12" t="n">
        <v>6</v>
      </c>
      <c r="D227" s="12" t="inlineStr">
        <is>
          <t>SALES</t>
        </is>
      </c>
      <c r="E227" s="12" t="inlineStr">
        <is>
          <t>Direct Sales</t>
        </is>
      </c>
      <c r="F227" s="12" t="inlineStr">
        <is>
          <t>OPEX</t>
        </is>
      </c>
      <c r="G227" s="12" t="inlineStr">
        <is>
          <t>Operating Expenses</t>
        </is>
      </c>
      <c r="H227" s="12" t="inlineStr">
        <is>
          <t>MERCHANT</t>
        </is>
      </c>
      <c r="I227" s="12" t="inlineStr">
        <is>
          <t>Merchant Fees</t>
        </is>
      </c>
      <c r="J227" s="13" t="n">
        <v>7330</v>
      </c>
    </row>
    <row r="228">
      <c r="A228" s="40" t="n">
        <v>46182</v>
      </c>
      <c r="B228" s="12" t="inlineStr">
        <is>
          <t>J41224</t>
        </is>
      </c>
      <c r="C228" s="12" t="n">
        <v>6</v>
      </c>
      <c r="D228" s="12" t="inlineStr">
        <is>
          <t>CHANNEL</t>
        </is>
      </c>
      <c r="E228" s="12" t="inlineStr">
        <is>
          <t>Distributor Channel</t>
        </is>
      </c>
      <c r="F228" s="12" t="inlineStr">
        <is>
          <t>OPEX</t>
        </is>
      </c>
      <c r="G228" s="12" t="inlineStr">
        <is>
          <t>Operating Expenses</t>
        </is>
      </c>
      <c r="H228" s="12" t="inlineStr">
        <is>
          <t>MERCHANT</t>
        </is>
      </c>
      <c r="I228" s="12" t="inlineStr">
        <is>
          <t>Merchant Fees</t>
        </is>
      </c>
      <c r="J228" s="13" t="n">
        <v>3939</v>
      </c>
    </row>
    <row r="229">
      <c r="A229" s="40" t="n">
        <v>46178</v>
      </c>
      <c r="B229" s="12" t="inlineStr">
        <is>
          <t>J41225</t>
        </is>
      </c>
      <c r="C229" s="12" t="n">
        <v>6</v>
      </c>
      <c r="D229" s="12" t="inlineStr">
        <is>
          <t>SERVICE</t>
        </is>
      </c>
      <c r="E229" s="12" t="inlineStr">
        <is>
          <t>Service and Support</t>
        </is>
      </c>
      <c r="F229" s="12" t="inlineStr">
        <is>
          <t>OPEX</t>
        </is>
      </c>
      <c r="G229" s="12" t="inlineStr">
        <is>
          <t>Operating Expenses</t>
        </is>
      </c>
      <c r="H229" s="12" t="inlineStr">
        <is>
          <t>MERCHANT</t>
        </is>
      </c>
      <c r="I229" s="12" t="inlineStr">
        <is>
          <t>Merchant Fees</t>
        </is>
      </c>
      <c r="J229" s="13" t="n">
        <v>2218</v>
      </c>
    </row>
    <row r="230">
      <c r="A230" s="40" t="n">
        <v>46177</v>
      </c>
      <c r="B230" s="12" t="inlineStr">
        <is>
          <t>J41226</t>
        </is>
      </c>
      <c r="C230" s="12" t="n">
        <v>6</v>
      </c>
      <c r="D230" s="12" t="inlineStr">
        <is>
          <t>SALES</t>
        </is>
      </c>
      <c r="E230" s="12" t="inlineStr">
        <is>
          <t>Direct Sales</t>
        </is>
      </c>
      <c r="F230" s="12" t="inlineStr">
        <is>
          <t>OPEX</t>
        </is>
      </c>
      <c r="G230" s="12" t="inlineStr">
        <is>
          <t>Operating Expenses</t>
        </is>
      </c>
      <c r="H230" s="12" t="inlineStr">
        <is>
          <t>PROFSVC</t>
        </is>
      </c>
      <c r="I230" s="12" t="inlineStr">
        <is>
          <t>Professional Fees</t>
        </is>
      </c>
      <c r="J230" s="13" t="n">
        <v>8829</v>
      </c>
    </row>
    <row r="231">
      <c r="A231" s="40" t="n">
        <v>46179</v>
      </c>
      <c r="B231" s="12" t="inlineStr">
        <is>
          <t>J41227</t>
        </is>
      </c>
      <c r="C231" s="12" t="n">
        <v>6</v>
      </c>
      <c r="D231" s="12" t="inlineStr">
        <is>
          <t>CHANNEL</t>
        </is>
      </c>
      <c r="E231" s="12" t="inlineStr">
        <is>
          <t>Distributor Channel</t>
        </is>
      </c>
      <c r="F231" s="12" t="inlineStr">
        <is>
          <t>OPEX</t>
        </is>
      </c>
      <c r="G231" s="12" t="inlineStr">
        <is>
          <t>Operating Expenses</t>
        </is>
      </c>
      <c r="H231" s="12" t="inlineStr">
        <is>
          <t>PROFSVC</t>
        </is>
      </c>
      <c r="I231" s="12" t="inlineStr">
        <is>
          <t>Professional Fees</t>
        </is>
      </c>
      <c r="J231" s="13" t="n">
        <v>4373</v>
      </c>
    </row>
    <row r="232">
      <c r="A232" s="40" t="n">
        <v>46190</v>
      </c>
      <c r="B232" s="12" t="inlineStr">
        <is>
          <t>J41228</t>
        </is>
      </c>
      <c r="C232" s="12" t="n">
        <v>6</v>
      </c>
      <c r="D232" s="12" t="inlineStr">
        <is>
          <t>SERVICE</t>
        </is>
      </c>
      <c r="E232" s="12" t="inlineStr">
        <is>
          <t>Service and Support</t>
        </is>
      </c>
      <c r="F232" s="12" t="inlineStr">
        <is>
          <t>OPEX</t>
        </is>
      </c>
      <c r="G232" s="12" t="inlineStr">
        <is>
          <t>Operating Expenses</t>
        </is>
      </c>
      <c r="H232" s="12" t="inlineStr">
        <is>
          <t>PROFSVC</t>
        </is>
      </c>
      <c r="I232" s="12" t="inlineStr">
        <is>
          <t>Professional Fees</t>
        </is>
      </c>
      <c r="J232" s="13" t="n">
        <v>2361</v>
      </c>
    </row>
    <row r="233">
      <c r="A233" s="40" t="n">
        <v>46189</v>
      </c>
      <c r="B233" s="12" t="inlineStr">
        <is>
          <t>J41229</t>
        </is>
      </c>
      <c r="C233" s="12" t="n">
        <v>6</v>
      </c>
      <c r="D233" s="12" t="inlineStr">
        <is>
          <t>SALES</t>
        </is>
      </c>
      <c r="E233" s="12" t="inlineStr">
        <is>
          <t>Direct Sales</t>
        </is>
      </c>
      <c r="F233" s="12" t="inlineStr">
        <is>
          <t>OPEX</t>
        </is>
      </c>
      <c r="G233" s="12" t="inlineStr">
        <is>
          <t>Operating Expenses</t>
        </is>
      </c>
      <c r="H233" s="12" t="inlineStr">
        <is>
          <t>DEPREC</t>
        </is>
      </c>
      <c r="I233" s="12" t="inlineStr">
        <is>
          <t>Depreciation</t>
        </is>
      </c>
      <c r="J233" s="13" t="n">
        <v>5100</v>
      </c>
    </row>
    <row r="234">
      <c r="A234" s="40" t="n">
        <v>46192</v>
      </c>
      <c r="B234" s="12" t="inlineStr">
        <is>
          <t>J41230</t>
        </is>
      </c>
      <c r="C234" s="12" t="n">
        <v>6</v>
      </c>
      <c r="D234" s="12" t="inlineStr">
        <is>
          <t>CHANNEL</t>
        </is>
      </c>
      <c r="E234" s="12" t="inlineStr">
        <is>
          <t>Distributor Channel</t>
        </is>
      </c>
      <c r="F234" s="12" t="inlineStr">
        <is>
          <t>OPEX</t>
        </is>
      </c>
      <c r="G234" s="12" t="inlineStr">
        <is>
          <t>Operating Expenses</t>
        </is>
      </c>
      <c r="H234" s="12" t="inlineStr">
        <is>
          <t>DEPREC</t>
        </is>
      </c>
      <c r="I234" s="12" t="inlineStr">
        <is>
          <t>Depreciation</t>
        </is>
      </c>
      <c r="J234" s="13" t="n">
        <v>5610</v>
      </c>
    </row>
    <row r="235">
      <c r="A235" s="40" t="n">
        <v>46198</v>
      </c>
      <c r="B235" s="12" t="inlineStr">
        <is>
          <t>J41231</t>
        </is>
      </c>
      <c r="C235" s="12" t="n">
        <v>6</v>
      </c>
      <c r="D235" s="12" t="inlineStr">
        <is>
          <t>SERVICE</t>
        </is>
      </c>
      <c r="E235" s="12" t="inlineStr">
        <is>
          <t>Service and Support</t>
        </is>
      </c>
      <c r="F235" s="12" t="inlineStr">
        <is>
          <t>OPEX</t>
        </is>
      </c>
      <c r="G235" s="12" t="inlineStr">
        <is>
          <t>Operating Expenses</t>
        </is>
      </c>
      <c r="H235" s="12" t="inlineStr">
        <is>
          <t>DEPREC</t>
        </is>
      </c>
      <c r="I235" s="12" t="inlineStr">
        <is>
          <t>Depreciation</t>
        </is>
      </c>
      <c r="J235" s="13" t="n">
        <v>5361</v>
      </c>
    </row>
    <row r="236">
      <c r="A236" s="40" t="n">
        <v>46192</v>
      </c>
      <c r="B236" s="12" t="inlineStr">
        <is>
          <t>J41232</t>
        </is>
      </c>
      <c r="C236" s="12" t="n">
        <v>6</v>
      </c>
      <c r="D236" s="12" t="inlineStr">
        <is>
          <t>SALES</t>
        </is>
      </c>
      <c r="E236" s="12" t="inlineStr">
        <is>
          <t>Direct Sales</t>
        </is>
      </c>
      <c r="F236" s="12" t="inlineStr">
        <is>
          <t>OPEX</t>
        </is>
      </c>
      <c r="G236" s="12" t="inlineStr">
        <is>
          <t>Operating Expenses</t>
        </is>
      </c>
      <c r="H236" s="12" t="inlineStr">
        <is>
          <t>FINANCE</t>
        </is>
      </c>
      <c r="I236" s="12" t="inlineStr">
        <is>
          <t>Finance Costs</t>
        </is>
      </c>
      <c r="J236" s="13" t="n">
        <v>2872</v>
      </c>
    </row>
    <row r="237">
      <c r="A237" s="40" t="n">
        <v>46194</v>
      </c>
      <c r="B237" s="12" t="inlineStr">
        <is>
          <t>J41233</t>
        </is>
      </c>
      <c r="C237" s="12" t="n">
        <v>6</v>
      </c>
      <c r="D237" s="12" t="inlineStr">
        <is>
          <t>CHANNEL</t>
        </is>
      </c>
      <c r="E237" s="12" t="inlineStr">
        <is>
          <t>Distributor Channel</t>
        </is>
      </c>
      <c r="F237" s="12" t="inlineStr">
        <is>
          <t>OPEX</t>
        </is>
      </c>
      <c r="G237" s="12" t="inlineStr">
        <is>
          <t>Operating Expenses</t>
        </is>
      </c>
      <c r="H237" s="12" t="inlineStr">
        <is>
          <t>FINANCE</t>
        </is>
      </c>
      <c r="I237" s="12" t="inlineStr">
        <is>
          <t>Finance Costs</t>
        </is>
      </c>
      <c r="J237" s="13" t="n">
        <v>2625</v>
      </c>
    </row>
    <row r="238">
      <c r="A238" s="40" t="n">
        <v>46187</v>
      </c>
      <c r="B238" s="12" t="inlineStr">
        <is>
          <t>J41234</t>
        </is>
      </c>
      <c r="C238" s="12" t="n">
        <v>6</v>
      </c>
      <c r="D238" s="12" t="inlineStr">
        <is>
          <t>SERVICE</t>
        </is>
      </c>
      <c r="E238" s="12" t="inlineStr">
        <is>
          <t>Service and Support</t>
        </is>
      </c>
      <c r="F238" s="12" t="inlineStr">
        <is>
          <t>OPEX</t>
        </is>
      </c>
      <c r="G238" s="12" t="inlineStr">
        <is>
          <t>Operating Expenses</t>
        </is>
      </c>
      <c r="H238" s="12" t="inlineStr">
        <is>
          <t>FINANCE</t>
        </is>
      </c>
      <c r="I238" s="12" t="inlineStr">
        <is>
          <t>Finance Costs</t>
        </is>
      </c>
      <c r="J238" s="13" t="n">
        <v>2656</v>
      </c>
    </row>
    <row r="239">
      <c r="A239" s="40" t="n">
        <v>46223</v>
      </c>
      <c r="B239" s="12" t="inlineStr">
        <is>
          <t>J41235</t>
        </is>
      </c>
      <c r="C239" s="12" t="n">
        <v>7</v>
      </c>
      <c r="D239" s="12" t="inlineStr">
        <is>
          <t>SALES</t>
        </is>
      </c>
      <c r="E239" s="12" t="inlineStr">
        <is>
          <t>Direct Sales</t>
        </is>
      </c>
      <c r="F239" s="12" t="inlineStr">
        <is>
          <t>REVENUE</t>
        </is>
      </c>
      <c r="G239" s="12" t="inlineStr">
        <is>
          <t>Revenue</t>
        </is>
      </c>
      <c r="H239" s="12" t="inlineStr">
        <is>
          <t>REVENUE_PROD</t>
        </is>
      </c>
      <c r="I239" s="12" t="inlineStr">
        <is>
          <t>Product Revenue</t>
        </is>
      </c>
      <c r="J239" s="13" t="n">
        <v>451537</v>
      </c>
    </row>
    <row r="240">
      <c r="A240" s="40" t="n">
        <v>46209</v>
      </c>
      <c r="B240" s="12" t="inlineStr">
        <is>
          <t>J41236</t>
        </is>
      </c>
      <c r="C240" s="12" t="n">
        <v>7</v>
      </c>
      <c r="D240" s="12" t="inlineStr">
        <is>
          <t>CHANNEL</t>
        </is>
      </c>
      <c r="E240" s="12" t="inlineStr">
        <is>
          <t>Distributor Channel</t>
        </is>
      </c>
      <c r="F240" s="12" t="inlineStr">
        <is>
          <t>REVENUE</t>
        </is>
      </c>
      <c r="G240" s="12" t="inlineStr">
        <is>
          <t>Revenue</t>
        </is>
      </c>
      <c r="H240" s="12" t="inlineStr">
        <is>
          <t>REVENUE_PROD</t>
        </is>
      </c>
      <c r="I240" s="12" t="inlineStr">
        <is>
          <t>Product Revenue</t>
        </is>
      </c>
      <c r="J240" s="13" t="n">
        <v>266930</v>
      </c>
    </row>
    <row r="241">
      <c r="A241" s="40" t="n">
        <v>46211</v>
      </c>
      <c r="B241" s="12" t="inlineStr">
        <is>
          <t>J41237</t>
        </is>
      </c>
      <c r="C241" s="12" t="n">
        <v>7</v>
      </c>
      <c r="D241" s="12" t="inlineStr">
        <is>
          <t>SERVICE</t>
        </is>
      </c>
      <c r="E241" s="12" t="inlineStr">
        <is>
          <t>Service and Support</t>
        </is>
      </c>
      <c r="F241" s="12" t="inlineStr">
        <is>
          <t>REVENUE</t>
        </is>
      </c>
      <c r="G241" s="12" t="inlineStr">
        <is>
          <t>Revenue</t>
        </is>
      </c>
      <c r="H241" s="12" t="inlineStr">
        <is>
          <t>REVENUE_PROD</t>
        </is>
      </c>
      <c r="I241" s="12" t="inlineStr">
        <is>
          <t>Product Revenue</t>
        </is>
      </c>
      <c r="J241" s="13" t="n">
        <v>144757</v>
      </c>
    </row>
    <row r="242">
      <c r="A242" s="40" t="n">
        <v>46215</v>
      </c>
      <c r="B242" s="12" t="inlineStr">
        <is>
          <t>J41238</t>
        </is>
      </c>
      <c r="C242" s="12" t="n">
        <v>7</v>
      </c>
      <c r="D242" s="12" t="inlineStr">
        <is>
          <t>SALES</t>
        </is>
      </c>
      <c r="E242" s="12" t="inlineStr">
        <is>
          <t>Direct Sales</t>
        </is>
      </c>
      <c r="F242" s="12" t="inlineStr">
        <is>
          <t>REVENUE</t>
        </is>
      </c>
      <c r="G242" s="12" t="inlineStr">
        <is>
          <t>Revenue</t>
        </is>
      </c>
      <c r="H242" s="12" t="inlineStr">
        <is>
          <t>REVENUE_SVC</t>
        </is>
      </c>
      <c r="I242" s="12" t="inlineStr">
        <is>
          <t>Service Revenue</t>
        </is>
      </c>
      <c r="J242" s="13" t="n">
        <v>3913</v>
      </c>
    </row>
    <row r="243">
      <c r="A243" s="40" t="n">
        <v>46206</v>
      </c>
      <c r="B243" s="12" t="inlineStr">
        <is>
          <t>J41239</t>
        </is>
      </c>
      <c r="C243" s="12" t="n">
        <v>7</v>
      </c>
      <c r="D243" s="12" t="inlineStr">
        <is>
          <t>CHANNEL</t>
        </is>
      </c>
      <c r="E243" s="12" t="inlineStr">
        <is>
          <t>Distributor Channel</t>
        </is>
      </c>
      <c r="F243" s="12" t="inlineStr">
        <is>
          <t>REVENUE</t>
        </is>
      </c>
      <c r="G243" s="12" t="inlineStr">
        <is>
          <t>Revenue</t>
        </is>
      </c>
      <c r="H243" s="12" t="inlineStr">
        <is>
          <t>REVENUE_SVC</t>
        </is>
      </c>
      <c r="I243" s="12" t="inlineStr">
        <is>
          <t>Service Revenue</t>
        </is>
      </c>
      <c r="J243" s="13" t="n">
        <v>4175</v>
      </c>
    </row>
    <row r="244">
      <c r="A244" s="40" t="n">
        <v>46216</v>
      </c>
      <c r="B244" s="12" t="inlineStr">
        <is>
          <t>J41240</t>
        </is>
      </c>
      <c r="C244" s="12" t="n">
        <v>7</v>
      </c>
      <c r="D244" s="12" t="inlineStr">
        <is>
          <t>SERVICE</t>
        </is>
      </c>
      <c r="E244" s="12" t="inlineStr">
        <is>
          <t>Service and Support</t>
        </is>
      </c>
      <c r="F244" s="12" t="inlineStr">
        <is>
          <t>REVENUE</t>
        </is>
      </c>
      <c r="G244" s="12" t="inlineStr">
        <is>
          <t>Revenue</t>
        </is>
      </c>
      <c r="H244" s="12" t="inlineStr">
        <is>
          <t>REVENUE_SVC</t>
        </is>
      </c>
      <c r="I244" s="12" t="inlineStr">
        <is>
          <t>Service Revenue</t>
        </is>
      </c>
      <c r="J244" s="13" t="n">
        <v>84809</v>
      </c>
    </row>
    <row r="245">
      <c r="A245" s="40" t="n">
        <v>46217</v>
      </c>
      <c r="B245" s="12" t="inlineStr">
        <is>
          <t>J41241</t>
        </is>
      </c>
      <c r="C245" s="12" t="n">
        <v>7</v>
      </c>
      <c r="D245" s="12" t="inlineStr">
        <is>
          <t>SALES</t>
        </is>
      </c>
      <c r="E245" s="12" t="inlineStr">
        <is>
          <t>Direct Sales</t>
        </is>
      </c>
      <c r="F245" s="12" t="inlineStr">
        <is>
          <t>COGS</t>
        </is>
      </c>
      <c r="G245" s="12" t="inlineStr">
        <is>
          <t>Cost of Sales</t>
        </is>
      </c>
      <c r="H245" s="12" t="inlineStr">
        <is>
          <t>COGS</t>
        </is>
      </c>
      <c r="I245" s="12" t="inlineStr">
        <is>
          <t>Cost of Goods Sold</t>
        </is>
      </c>
      <c r="J245" s="13" t="n">
        <v>358803</v>
      </c>
    </row>
    <row r="246">
      <c r="A246" s="40" t="n">
        <v>46219</v>
      </c>
      <c r="B246" s="12" t="inlineStr">
        <is>
          <t>J41242</t>
        </is>
      </c>
      <c r="C246" s="12" t="n">
        <v>7</v>
      </c>
      <c r="D246" s="12" t="inlineStr">
        <is>
          <t>CHANNEL</t>
        </is>
      </c>
      <c r="E246" s="12" t="inlineStr">
        <is>
          <t>Distributor Channel</t>
        </is>
      </c>
      <c r="F246" s="12" t="inlineStr">
        <is>
          <t>COGS</t>
        </is>
      </c>
      <c r="G246" s="12" t="inlineStr">
        <is>
          <t>Cost of Sales</t>
        </is>
      </c>
      <c r="H246" s="12" t="inlineStr">
        <is>
          <t>COGS</t>
        </is>
      </c>
      <c r="I246" s="12" t="inlineStr">
        <is>
          <t>Cost of Goods Sold</t>
        </is>
      </c>
      <c r="J246" s="13" t="n">
        <v>173956</v>
      </c>
    </row>
    <row r="247">
      <c r="A247" s="40" t="n">
        <v>46226</v>
      </c>
      <c r="B247" s="12" t="inlineStr">
        <is>
          <t>J41243</t>
        </is>
      </c>
      <c r="C247" s="12" t="n">
        <v>7</v>
      </c>
      <c r="D247" s="12" t="inlineStr">
        <is>
          <t>SERVICE</t>
        </is>
      </c>
      <c r="E247" s="12" t="inlineStr">
        <is>
          <t>Service and Support</t>
        </is>
      </c>
      <c r="F247" s="12" t="inlineStr">
        <is>
          <t>COGS</t>
        </is>
      </c>
      <c r="G247" s="12" t="inlineStr">
        <is>
          <t>Cost of Sales</t>
        </is>
      </c>
      <c r="H247" s="12" t="inlineStr">
        <is>
          <t>COGS</t>
        </is>
      </c>
      <c r="I247" s="12" t="inlineStr">
        <is>
          <t>Cost of Goods Sold</t>
        </is>
      </c>
      <c r="J247" s="13" t="n">
        <v>94837</v>
      </c>
    </row>
    <row r="248">
      <c r="A248" s="40" t="n">
        <v>46228</v>
      </c>
      <c r="B248" s="12" t="inlineStr">
        <is>
          <t>J41244</t>
        </is>
      </c>
      <c r="C248" s="12" t="n">
        <v>7</v>
      </c>
      <c r="D248" s="12" t="inlineStr">
        <is>
          <t>SALES</t>
        </is>
      </c>
      <c r="E248" s="12" t="inlineStr">
        <is>
          <t>Direct Sales</t>
        </is>
      </c>
      <c r="F248" s="12" t="inlineStr">
        <is>
          <t>OPEX</t>
        </is>
      </c>
      <c r="G248" s="12" t="inlineStr">
        <is>
          <t>Operating Expenses</t>
        </is>
      </c>
      <c r="H248" s="12" t="inlineStr">
        <is>
          <t>SALARY</t>
        </is>
      </c>
      <c r="I248" s="12" t="inlineStr">
        <is>
          <t>Payroll</t>
        </is>
      </c>
      <c r="J248" s="13" t="n">
        <v>76876</v>
      </c>
    </row>
    <row r="249">
      <c r="A249" s="40" t="n">
        <v>46207</v>
      </c>
      <c r="B249" s="12" t="inlineStr">
        <is>
          <t>J41245</t>
        </is>
      </c>
      <c r="C249" s="12" t="n">
        <v>7</v>
      </c>
      <c r="D249" s="12" t="inlineStr">
        <is>
          <t>CHANNEL</t>
        </is>
      </c>
      <c r="E249" s="12" t="inlineStr">
        <is>
          <t>Distributor Channel</t>
        </is>
      </c>
      <c r="F249" s="12" t="inlineStr">
        <is>
          <t>OPEX</t>
        </is>
      </c>
      <c r="G249" s="12" t="inlineStr">
        <is>
          <t>Operating Expenses</t>
        </is>
      </c>
      <c r="H249" s="12" t="inlineStr">
        <is>
          <t>SALARY</t>
        </is>
      </c>
      <c r="I249" s="12" t="inlineStr">
        <is>
          <t>Payroll</t>
        </is>
      </c>
      <c r="J249" s="13" t="n">
        <v>47180</v>
      </c>
    </row>
    <row r="250">
      <c r="A250" s="40" t="n">
        <v>46227</v>
      </c>
      <c r="B250" s="12" t="inlineStr">
        <is>
          <t>J41246</t>
        </is>
      </c>
      <c r="C250" s="12" t="n">
        <v>7</v>
      </c>
      <c r="D250" s="12" t="inlineStr">
        <is>
          <t>SERVICE</t>
        </is>
      </c>
      <c r="E250" s="12" t="inlineStr">
        <is>
          <t>Service and Support</t>
        </is>
      </c>
      <c r="F250" s="12" t="inlineStr">
        <is>
          <t>OPEX</t>
        </is>
      </c>
      <c r="G250" s="12" t="inlineStr">
        <is>
          <t>Operating Expenses</t>
        </is>
      </c>
      <c r="H250" s="12" t="inlineStr">
        <is>
          <t>SALARY</t>
        </is>
      </c>
      <c r="I250" s="12" t="inlineStr">
        <is>
          <t>Payroll</t>
        </is>
      </c>
      <c r="J250" s="13" t="n">
        <v>23108</v>
      </c>
    </row>
    <row r="251">
      <c r="A251" s="40" t="n">
        <v>46226</v>
      </c>
      <c r="B251" s="12" t="inlineStr">
        <is>
          <t>J41247</t>
        </is>
      </c>
      <c r="C251" s="12" t="n">
        <v>7</v>
      </c>
      <c r="D251" s="12" t="inlineStr">
        <is>
          <t>SALES</t>
        </is>
      </c>
      <c r="E251" s="12" t="inlineStr">
        <is>
          <t>Direct Sales</t>
        </is>
      </c>
      <c r="F251" s="12" t="inlineStr">
        <is>
          <t>OPEX</t>
        </is>
      </c>
      <c r="G251" s="12" t="inlineStr">
        <is>
          <t>Operating Expenses</t>
        </is>
      </c>
      <c r="H251" s="12" t="inlineStr">
        <is>
          <t>RENT</t>
        </is>
      </c>
      <c r="I251" s="12" t="inlineStr">
        <is>
          <t>Rent and Facilities</t>
        </is>
      </c>
      <c r="J251" s="13" t="n">
        <v>10129</v>
      </c>
    </row>
    <row r="252">
      <c r="A252" s="40" t="n">
        <v>46228</v>
      </c>
      <c r="B252" s="12" t="inlineStr">
        <is>
          <t>J41248</t>
        </is>
      </c>
      <c r="C252" s="12" t="n">
        <v>7</v>
      </c>
      <c r="D252" s="12" t="inlineStr">
        <is>
          <t>CHANNEL</t>
        </is>
      </c>
      <c r="E252" s="12" t="inlineStr">
        <is>
          <t>Distributor Channel</t>
        </is>
      </c>
      <c r="F252" s="12" t="inlineStr">
        <is>
          <t>OPEX</t>
        </is>
      </c>
      <c r="G252" s="12" t="inlineStr">
        <is>
          <t>Operating Expenses</t>
        </is>
      </c>
      <c r="H252" s="12" t="inlineStr">
        <is>
          <t>RENT</t>
        </is>
      </c>
      <c r="I252" s="12" t="inlineStr">
        <is>
          <t>Rent and Facilities</t>
        </is>
      </c>
      <c r="J252" s="13" t="n">
        <v>9698</v>
      </c>
    </row>
    <row r="253">
      <c r="A253" s="40" t="n">
        <v>46225</v>
      </c>
      <c r="B253" s="12" t="inlineStr">
        <is>
          <t>J41249</t>
        </is>
      </c>
      <c r="C253" s="12" t="n">
        <v>7</v>
      </c>
      <c r="D253" s="12" t="inlineStr">
        <is>
          <t>SERVICE</t>
        </is>
      </c>
      <c r="E253" s="12" t="inlineStr">
        <is>
          <t>Service and Support</t>
        </is>
      </c>
      <c r="F253" s="12" t="inlineStr">
        <is>
          <t>OPEX</t>
        </is>
      </c>
      <c r="G253" s="12" t="inlineStr">
        <is>
          <t>Operating Expenses</t>
        </is>
      </c>
      <c r="H253" s="12" t="inlineStr">
        <is>
          <t>RENT</t>
        </is>
      </c>
      <c r="I253" s="12" t="inlineStr">
        <is>
          <t>Rent and Facilities</t>
        </is>
      </c>
      <c r="J253" s="13" t="n">
        <v>9597</v>
      </c>
    </row>
    <row r="254">
      <c r="A254" s="40" t="n">
        <v>46208</v>
      </c>
      <c r="B254" s="12" t="inlineStr">
        <is>
          <t>J41250</t>
        </is>
      </c>
      <c r="C254" s="12" t="n">
        <v>7</v>
      </c>
      <c r="D254" s="12" t="inlineStr">
        <is>
          <t>SALES</t>
        </is>
      </c>
      <c r="E254" s="12" t="inlineStr">
        <is>
          <t>Direct Sales</t>
        </is>
      </c>
      <c r="F254" s="12" t="inlineStr">
        <is>
          <t>OPEX</t>
        </is>
      </c>
      <c r="G254" s="12" t="inlineStr">
        <is>
          <t>Operating Expenses</t>
        </is>
      </c>
      <c r="H254" s="12" t="inlineStr">
        <is>
          <t>VEHICLE</t>
        </is>
      </c>
      <c r="I254" s="12" t="inlineStr">
        <is>
          <t>Vehicle</t>
        </is>
      </c>
      <c r="J254" s="13" t="n">
        <v>10737</v>
      </c>
    </row>
    <row r="255">
      <c r="A255" s="40" t="n">
        <v>46208</v>
      </c>
      <c r="B255" s="12" t="inlineStr">
        <is>
          <t>J41251</t>
        </is>
      </c>
      <c r="C255" s="12" t="n">
        <v>7</v>
      </c>
      <c r="D255" s="12" t="inlineStr">
        <is>
          <t>CHANNEL</t>
        </is>
      </c>
      <c r="E255" s="12" t="inlineStr">
        <is>
          <t>Distributor Channel</t>
        </is>
      </c>
      <c r="F255" s="12" t="inlineStr">
        <is>
          <t>OPEX</t>
        </is>
      </c>
      <c r="G255" s="12" t="inlineStr">
        <is>
          <t>Operating Expenses</t>
        </is>
      </c>
      <c r="H255" s="12" t="inlineStr">
        <is>
          <t>VEHICLE</t>
        </is>
      </c>
      <c r="I255" s="12" t="inlineStr">
        <is>
          <t>Vehicle</t>
        </is>
      </c>
      <c r="J255" s="13" t="n">
        <v>6392</v>
      </c>
    </row>
    <row r="256">
      <c r="A256" s="40" t="n">
        <v>46218</v>
      </c>
      <c r="B256" s="12" t="inlineStr">
        <is>
          <t>J41252</t>
        </is>
      </c>
      <c r="C256" s="12" t="n">
        <v>7</v>
      </c>
      <c r="D256" s="12" t="inlineStr">
        <is>
          <t>SERVICE</t>
        </is>
      </c>
      <c r="E256" s="12" t="inlineStr">
        <is>
          <t>Service and Support</t>
        </is>
      </c>
      <c r="F256" s="12" t="inlineStr">
        <is>
          <t>OPEX</t>
        </is>
      </c>
      <c r="G256" s="12" t="inlineStr">
        <is>
          <t>Operating Expenses</t>
        </is>
      </c>
      <c r="H256" s="12" t="inlineStr">
        <is>
          <t>VEHICLE</t>
        </is>
      </c>
      <c r="I256" s="12" t="inlineStr">
        <is>
          <t>Vehicle</t>
        </is>
      </c>
      <c r="J256" s="13" t="n">
        <v>3170</v>
      </c>
    </row>
    <row r="257">
      <c r="A257" s="40" t="n">
        <v>46222</v>
      </c>
      <c r="B257" s="12" t="inlineStr">
        <is>
          <t>J41253</t>
        </is>
      </c>
      <c r="C257" s="12" t="n">
        <v>7</v>
      </c>
      <c r="D257" s="12" t="inlineStr">
        <is>
          <t>SALES</t>
        </is>
      </c>
      <c r="E257" s="12" t="inlineStr">
        <is>
          <t>Direct Sales</t>
        </is>
      </c>
      <c r="F257" s="12" t="inlineStr">
        <is>
          <t>OPEX</t>
        </is>
      </c>
      <c r="G257" s="12" t="inlineStr">
        <is>
          <t>Operating Expenses</t>
        </is>
      </c>
      <c r="H257" s="12" t="inlineStr">
        <is>
          <t>MARKETING</t>
        </is>
      </c>
      <c r="I257" s="12" t="inlineStr">
        <is>
          <t>Marketing</t>
        </is>
      </c>
      <c r="J257" s="13" t="n">
        <v>17515</v>
      </c>
    </row>
    <row r="258">
      <c r="A258" s="40" t="n">
        <v>46217</v>
      </c>
      <c r="B258" s="12" t="inlineStr">
        <is>
          <t>J41254</t>
        </is>
      </c>
      <c r="C258" s="12" t="n">
        <v>7</v>
      </c>
      <c r="D258" s="12" t="inlineStr">
        <is>
          <t>CHANNEL</t>
        </is>
      </c>
      <c r="E258" s="12" t="inlineStr">
        <is>
          <t>Distributor Channel</t>
        </is>
      </c>
      <c r="F258" s="12" t="inlineStr">
        <is>
          <t>OPEX</t>
        </is>
      </c>
      <c r="G258" s="12" t="inlineStr">
        <is>
          <t>Operating Expenses</t>
        </is>
      </c>
      <c r="H258" s="12" t="inlineStr">
        <is>
          <t>MARKETING</t>
        </is>
      </c>
      <c r="I258" s="12" t="inlineStr">
        <is>
          <t>Marketing</t>
        </is>
      </c>
      <c r="J258" s="13" t="n">
        <v>9740</v>
      </c>
    </row>
    <row r="259">
      <c r="A259" s="40" t="n">
        <v>46208</v>
      </c>
      <c r="B259" s="12" t="inlineStr">
        <is>
          <t>J41255</t>
        </is>
      </c>
      <c r="C259" s="12" t="n">
        <v>7</v>
      </c>
      <c r="D259" s="12" t="inlineStr">
        <is>
          <t>SERVICE</t>
        </is>
      </c>
      <c r="E259" s="12" t="inlineStr">
        <is>
          <t>Service and Support</t>
        </is>
      </c>
      <c r="F259" s="12" t="inlineStr">
        <is>
          <t>OPEX</t>
        </is>
      </c>
      <c r="G259" s="12" t="inlineStr">
        <is>
          <t>Operating Expenses</t>
        </is>
      </c>
      <c r="H259" s="12" t="inlineStr">
        <is>
          <t>MARKETING</t>
        </is>
      </c>
      <c r="I259" s="12" t="inlineStr">
        <is>
          <t>Marketing</t>
        </is>
      </c>
      <c r="J259" s="13" t="n">
        <v>4812</v>
      </c>
    </row>
    <row r="260">
      <c r="A260" s="40" t="n">
        <v>46230</v>
      </c>
      <c r="B260" s="12" t="inlineStr">
        <is>
          <t>J41256</t>
        </is>
      </c>
      <c r="C260" s="12" t="n">
        <v>7</v>
      </c>
      <c r="D260" s="12" t="inlineStr">
        <is>
          <t>SALES</t>
        </is>
      </c>
      <c r="E260" s="12" t="inlineStr">
        <is>
          <t>Direct Sales</t>
        </is>
      </c>
      <c r="F260" s="12" t="inlineStr">
        <is>
          <t>OPEX</t>
        </is>
      </c>
      <c r="G260" s="12" t="inlineStr">
        <is>
          <t>Operating Expenses</t>
        </is>
      </c>
      <c r="H260" s="12" t="inlineStr">
        <is>
          <t>ENTERTAIN</t>
        </is>
      </c>
      <c r="I260" s="12" t="inlineStr">
        <is>
          <t>Entertainment</t>
        </is>
      </c>
      <c r="J260" s="13" t="n">
        <v>2672</v>
      </c>
    </row>
    <row r="261">
      <c r="A261" s="40" t="n">
        <v>46227</v>
      </c>
      <c r="B261" s="12" t="inlineStr">
        <is>
          <t>J41257</t>
        </is>
      </c>
      <c r="C261" s="12" t="n">
        <v>7</v>
      </c>
      <c r="D261" s="12" t="inlineStr">
        <is>
          <t>CHANNEL</t>
        </is>
      </c>
      <c r="E261" s="12" t="inlineStr">
        <is>
          <t>Distributor Channel</t>
        </is>
      </c>
      <c r="F261" s="12" t="inlineStr">
        <is>
          <t>OPEX</t>
        </is>
      </c>
      <c r="G261" s="12" t="inlineStr">
        <is>
          <t>Operating Expenses</t>
        </is>
      </c>
      <c r="H261" s="12" t="inlineStr">
        <is>
          <t>ENTERTAIN</t>
        </is>
      </c>
      <c r="I261" s="12" t="inlineStr">
        <is>
          <t>Entertainment</t>
        </is>
      </c>
      <c r="J261" s="13" t="n">
        <v>1435</v>
      </c>
    </row>
    <row r="262">
      <c r="A262" s="40" t="n">
        <v>46230</v>
      </c>
      <c r="B262" s="12" t="inlineStr">
        <is>
          <t>J41258</t>
        </is>
      </c>
      <c r="C262" s="12" t="n">
        <v>7</v>
      </c>
      <c r="D262" s="12" t="inlineStr">
        <is>
          <t>SERVICE</t>
        </is>
      </c>
      <c r="E262" s="12" t="inlineStr">
        <is>
          <t>Service and Support</t>
        </is>
      </c>
      <c r="F262" s="12" t="inlineStr">
        <is>
          <t>OPEX</t>
        </is>
      </c>
      <c r="G262" s="12" t="inlineStr">
        <is>
          <t>Operating Expenses</t>
        </is>
      </c>
      <c r="H262" s="12" t="inlineStr">
        <is>
          <t>ENTERTAIN</t>
        </is>
      </c>
      <c r="I262" s="12" t="inlineStr">
        <is>
          <t>Entertainment</t>
        </is>
      </c>
      <c r="J262" s="13" t="n">
        <v>626</v>
      </c>
    </row>
    <row r="263">
      <c r="A263" s="40" t="n">
        <v>46224</v>
      </c>
      <c r="B263" s="12" t="inlineStr">
        <is>
          <t>J41259</t>
        </is>
      </c>
      <c r="C263" s="12" t="n">
        <v>7</v>
      </c>
      <c r="D263" s="12" t="inlineStr">
        <is>
          <t>SALES</t>
        </is>
      </c>
      <c r="E263" s="12" t="inlineStr">
        <is>
          <t>Direct Sales</t>
        </is>
      </c>
      <c r="F263" s="12" t="inlineStr">
        <is>
          <t>OPEX</t>
        </is>
      </c>
      <c r="G263" s="12" t="inlineStr">
        <is>
          <t>Operating Expenses</t>
        </is>
      </c>
      <c r="H263" s="12" t="inlineStr">
        <is>
          <t>OFFICE</t>
        </is>
      </c>
      <c r="I263" s="12" t="inlineStr">
        <is>
          <t>Office</t>
        </is>
      </c>
      <c r="J263" s="13" t="n">
        <v>4753</v>
      </c>
    </row>
    <row r="264">
      <c r="A264" s="40" t="n">
        <v>46206</v>
      </c>
      <c r="B264" s="12" t="inlineStr">
        <is>
          <t>J41260</t>
        </is>
      </c>
      <c r="C264" s="12" t="n">
        <v>7</v>
      </c>
      <c r="D264" s="12" t="inlineStr">
        <is>
          <t>CHANNEL</t>
        </is>
      </c>
      <c r="E264" s="12" t="inlineStr">
        <is>
          <t>Distributor Channel</t>
        </is>
      </c>
      <c r="F264" s="12" t="inlineStr">
        <is>
          <t>OPEX</t>
        </is>
      </c>
      <c r="G264" s="12" t="inlineStr">
        <is>
          <t>Operating Expenses</t>
        </is>
      </c>
      <c r="H264" s="12" t="inlineStr">
        <is>
          <t>OFFICE</t>
        </is>
      </c>
      <c r="I264" s="12" t="inlineStr">
        <is>
          <t>Office</t>
        </is>
      </c>
      <c r="J264" s="13" t="n">
        <v>2860</v>
      </c>
    </row>
    <row r="265">
      <c r="A265" s="40" t="n">
        <v>46224</v>
      </c>
      <c r="B265" s="12" t="inlineStr">
        <is>
          <t>J41261</t>
        </is>
      </c>
      <c r="C265" s="12" t="n">
        <v>7</v>
      </c>
      <c r="D265" s="12" t="inlineStr">
        <is>
          <t>SERVICE</t>
        </is>
      </c>
      <c r="E265" s="12" t="inlineStr">
        <is>
          <t>Service and Support</t>
        </is>
      </c>
      <c r="F265" s="12" t="inlineStr">
        <is>
          <t>OPEX</t>
        </is>
      </c>
      <c r="G265" s="12" t="inlineStr">
        <is>
          <t>Operating Expenses</t>
        </is>
      </c>
      <c r="H265" s="12" t="inlineStr">
        <is>
          <t>OFFICE</t>
        </is>
      </c>
      <c r="I265" s="12" t="inlineStr">
        <is>
          <t>Office</t>
        </is>
      </c>
      <c r="J265" s="13" t="n">
        <v>1558</v>
      </c>
    </row>
    <row r="266">
      <c r="A266" s="40" t="n">
        <v>46215</v>
      </c>
      <c r="B266" s="12" t="inlineStr">
        <is>
          <t>J41262</t>
        </is>
      </c>
      <c r="C266" s="12" t="n">
        <v>7</v>
      </c>
      <c r="D266" s="12" t="inlineStr">
        <is>
          <t>SALES</t>
        </is>
      </c>
      <c r="E266" s="12" t="inlineStr">
        <is>
          <t>Direct Sales</t>
        </is>
      </c>
      <c r="F266" s="12" t="inlineStr">
        <is>
          <t>OPEX</t>
        </is>
      </c>
      <c r="G266" s="12" t="inlineStr">
        <is>
          <t>Operating Expenses</t>
        </is>
      </c>
      <c r="H266" s="12" t="inlineStr">
        <is>
          <t>MERCHANT</t>
        </is>
      </c>
      <c r="I266" s="12" t="inlineStr">
        <is>
          <t>Merchant Fees</t>
        </is>
      </c>
      <c r="J266" s="13" t="n">
        <v>6589</v>
      </c>
    </row>
    <row r="267">
      <c r="A267" s="40" t="n">
        <v>46224</v>
      </c>
      <c r="B267" s="12" t="inlineStr">
        <is>
          <t>J41263</t>
        </is>
      </c>
      <c r="C267" s="12" t="n">
        <v>7</v>
      </c>
      <c r="D267" s="12" t="inlineStr">
        <is>
          <t>CHANNEL</t>
        </is>
      </c>
      <c r="E267" s="12" t="inlineStr">
        <is>
          <t>Distributor Channel</t>
        </is>
      </c>
      <c r="F267" s="12" t="inlineStr">
        <is>
          <t>OPEX</t>
        </is>
      </c>
      <c r="G267" s="12" t="inlineStr">
        <is>
          <t>Operating Expenses</t>
        </is>
      </c>
      <c r="H267" s="12" t="inlineStr">
        <is>
          <t>MERCHANT</t>
        </is>
      </c>
      <c r="I267" s="12" t="inlineStr">
        <is>
          <t>Merchant Fees</t>
        </is>
      </c>
      <c r="J267" s="13" t="n">
        <v>3215</v>
      </c>
    </row>
    <row r="268">
      <c r="A268" s="40" t="n">
        <v>46213</v>
      </c>
      <c r="B268" s="12" t="inlineStr">
        <is>
          <t>J41264</t>
        </is>
      </c>
      <c r="C268" s="12" t="n">
        <v>7</v>
      </c>
      <c r="D268" s="12" t="inlineStr">
        <is>
          <t>SERVICE</t>
        </is>
      </c>
      <c r="E268" s="12" t="inlineStr">
        <is>
          <t>Service and Support</t>
        </is>
      </c>
      <c r="F268" s="12" t="inlineStr">
        <is>
          <t>OPEX</t>
        </is>
      </c>
      <c r="G268" s="12" t="inlineStr">
        <is>
          <t>Operating Expenses</t>
        </is>
      </c>
      <c r="H268" s="12" t="inlineStr">
        <is>
          <t>MERCHANT</t>
        </is>
      </c>
      <c r="I268" s="12" t="inlineStr">
        <is>
          <t>Merchant Fees</t>
        </is>
      </c>
      <c r="J268" s="13" t="n">
        <v>1755</v>
      </c>
    </row>
    <row r="269">
      <c r="A269" s="40" t="n">
        <v>46230</v>
      </c>
      <c r="B269" s="12" t="inlineStr">
        <is>
          <t>J41265</t>
        </is>
      </c>
      <c r="C269" s="12" t="n">
        <v>7</v>
      </c>
      <c r="D269" s="12" t="inlineStr">
        <is>
          <t>SALES</t>
        </is>
      </c>
      <c r="E269" s="12" t="inlineStr">
        <is>
          <t>Direct Sales</t>
        </is>
      </c>
      <c r="F269" s="12" t="inlineStr">
        <is>
          <t>OPEX</t>
        </is>
      </c>
      <c r="G269" s="12" t="inlineStr">
        <is>
          <t>Operating Expenses</t>
        </is>
      </c>
      <c r="H269" s="12" t="inlineStr">
        <is>
          <t>PROFSVC</t>
        </is>
      </c>
      <c r="I269" s="12" t="inlineStr">
        <is>
          <t>Professional Fees</t>
        </is>
      </c>
      <c r="J269" s="13" t="n">
        <v>6576</v>
      </c>
    </row>
    <row r="270">
      <c r="A270" s="40" t="n">
        <v>46230</v>
      </c>
      <c r="B270" s="12" t="inlineStr">
        <is>
          <t>J41266</t>
        </is>
      </c>
      <c r="C270" s="12" t="n">
        <v>7</v>
      </c>
      <c r="D270" s="12" t="inlineStr">
        <is>
          <t>CHANNEL</t>
        </is>
      </c>
      <c r="E270" s="12" t="inlineStr">
        <is>
          <t>Distributor Channel</t>
        </is>
      </c>
      <c r="F270" s="12" t="inlineStr">
        <is>
          <t>OPEX</t>
        </is>
      </c>
      <c r="G270" s="12" t="inlineStr">
        <is>
          <t>Operating Expenses</t>
        </is>
      </c>
      <c r="H270" s="12" t="inlineStr">
        <is>
          <t>PROFSVC</t>
        </is>
      </c>
      <c r="I270" s="12" t="inlineStr">
        <is>
          <t>Professional Fees</t>
        </is>
      </c>
      <c r="J270" s="13" t="n">
        <v>3654</v>
      </c>
    </row>
    <row r="271">
      <c r="A271" s="40" t="n">
        <v>46205</v>
      </c>
      <c r="B271" s="12" t="inlineStr">
        <is>
          <t>J41267</t>
        </is>
      </c>
      <c r="C271" s="12" t="n">
        <v>7</v>
      </c>
      <c r="D271" s="12" t="inlineStr">
        <is>
          <t>SERVICE</t>
        </is>
      </c>
      <c r="E271" s="12" t="inlineStr">
        <is>
          <t>Service and Support</t>
        </is>
      </c>
      <c r="F271" s="12" t="inlineStr">
        <is>
          <t>OPEX</t>
        </is>
      </c>
      <c r="G271" s="12" t="inlineStr">
        <is>
          <t>Operating Expenses</t>
        </is>
      </c>
      <c r="H271" s="12" t="inlineStr">
        <is>
          <t>PROFSVC</t>
        </is>
      </c>
      <c r="I271" s="12" t="inlineStr">
        <is>
          <t>Professional Fees</t>
        </is>
      </c>
      <c r="J271" s="13" t="n">
        <v>1867</v>
      </c>
    </row>
    <row r="272">
      <c r="A272" s="40" t="n">
        <v>46211</v>
      </c>
      <c r="B272" s="12" t="inlineStr">
        <is>
          <t>J41268</t>
        </is>
      </c>
      <c r="C272" s="12" t="n">
        <v>7</v>
      </c>
      <c r="D272" s="12" t="inlineStr">
        <is>
          <t>SALES</t>
        </is>
      </c>
      <c r="E272" s="12" t="inlineStr">
        <is>
          <t>Direct Sales</t>
        </is>
      </c>
      <c r="F272" s="12" t="inlineStr">
        <is>
          <t>OPEX</t>
        </is>
      </c>
      <c r="G272" s="12" t="inlineStr">
        <is>
          <t>Operating Expenses</t>
        </is>
      </c>
      <c r="H272" s="12" t="inlineStr">
        <is>
          <t>DEPREC</t>
        </is>
      </c>
      <c r="I272" s="12" t="inlineStr">
        <is>
          <t>Depreciation</t>
        </is>
      </c>
      <c r="J272" s="13" t="n">
        <v>4904</v>
      </c>
    </row>
    <row r="273">
      <c r="A273" s="40" t="n">
        <v>46227</v>
      </c>
      <c r="B273" s="12" t="inlineStr">
        <is>
          <t>J41269</t>
        </is>
      </c>
      <c r="C273" s="12" t="n">
        <v>7</v>
      </c>
      <c r="D273" s="12" t="inlineStr">
        <is>
          <t>CHANNEL</t>
        </is>
      </c>
      <c r="E273" s="12" t="inlineStr">
        <is>
          <t>Distributor Channel</t>
        </is>
      </c>
      <c r="F273" s="12" t="inlineStr">
        <is>
          <t>OPEX</t>
        </is>
      </c>
      <c r="G273" s="12" t="inlineStr">
        <is>
          <t>Operating Expenses</t>
        </is>
      </c>
      <c r="H273" s="12" t="inlineStr">
        <is>
          <t>DEPREC</t>
        </is>
      </c>
      <c r="I273" s="12" t="inlineStr">
        <is>
          <t>Depreciation</t>
        </is>
      </c>
      <c r="J273" s="13" t="n">
        <v>4361</v>
      </c>
    </row>
    <row r="274">
      <c r="A274" s="40" t="n">
        <v>46229</v>
      </c>
      <c r="B274" s="12" t="inlineStr">
        <is>
          <t>J41270</t>
        </is>
      </c>
      <c r="C274" s="12" t="n">
        <v>7</v>
      </c>
      <c r="D274" s="12" t="inlineStr">
        <is>
          <t>SERVICE</t>
        </is>
      </c>
      <c r="E274" s="12" t="inlineStr">
        <is>
          <t>Service and Support</t>
        </is>
      </c>
      <c r="F274" s="12" t="inlineStr">
        <is>
          <t>OPEX</t>
        </is>
      </c>
      <c r="G274" s="12" t="inlineStr">
        <is>
          <t>Operating Expenses</t>
        </is>
      </c>
      <c r="H274" s="12" t="inlineStr">
        <is>
          <t>DEPREC</t>
        </is>
      </c>
      <c r="I274" s="12" t="inlineStr">
        <is>
          <t>Depreciation</t>
        </is>
      </c>
      <c r="J274" s="13" t="n">
        <v>4855</v>
      </c>
    </row>
    <row r="275">
      <c r="A275" s="40" t="n">
        <v>46215</v>
      </c>
      <c r="B275" s="12" t="inlineStr">
        <is>
          <t>J41271</t>
        </is>
      </c>
      <c r="C275" s="12" t="n">
        <v>7</v>
      </c>
      <c r="D275" s="12" t="inlineStr">
        <is>
          <t>SALES</t>
        </is>
      </c>
      <c r="E275" s="12" t="inlineStr">
        <is>
          <t>Direct Sales</t>
        </is>
      </c>
      <c r="F275" s="12" t="inlineStr">
        <is>
          <t>OPEX</t>
        </is>
      </c>
      <c r="G275" s="12" t="inlineStr">
        <is>
          <t>Operating Expenses</t>
        </is>
      </c>
      <c r="H275" s="12" t="inlineStr">
        <is>
          <t>FINANCE</t>
        </is>
      </c>
      <c r="I275" s="12" t="inlineStr">
        <is>
          <t>Finance Costs</t>
        </is>
      </c>
      <c r="J275" s="13" t="n">
        <v>2288</v>
      </c>
    </row>
    <row r="276">
      <c r="A276" s="40" t="n">
        <v>46230</v>
      </c>
      <c r="B276" s="12" t="inlineStr">
        <is>
          <t>J41272</t>
        </is>
      </c>
      <c r="C276" s="12" t="n">
        <v>7</v>
      </c>
      <c r="D276" s="12" t="inlineStr">
        <is>
          <t>CHANNEL</t>
        </is>
      </c>
      <c r="E276" s="12" t="inlineStr">
        <is>
          <t>Distributor Channel</t>
        </is>
      </c>
      <c r="F276" s="12" t="inlineStr">
        <is>
          <t>OPEX</t>
        </is>
      </c>
      <c r="G276" s="12" t="inlineStr">
        <is>
          <t>Operating Expenses</t>
        </is>
      </c>
      <c r="H276" s="12" t="inlineStr">
        <is>
          <t>FINANCE</t>
        </is>
      </c>
      <c r="I276" s="12" t="inlineStr">
        <is>
          <t>Finance Costs</t>
        </is>
      </c>
      <c r="J276" s="13" t="n">
        <v>2409</v>
      </c>
    </row>
    <row r="277">
      <c r="A277" s="40" t="n">
        <v>46220</v>
      </c>
      <c r="B277" s="12" t="inlineStr">
        <is>
          <t>J41273</t>
        </is>
      </c>
      <c r="C277" s="12" t="n">
        <v>7</v>
      </c>
      <c r="D277" s="12" t="inlineStr">
        <is>
          <t>SERVICE</t>
        </is>
      </c>
      <c r="E277" s="12" t="inlineStr">
        <is>
          <t>Service and Support</t>
        </is>
      </c>
      <c r="F277" s="12" t="inlineStr">
        <is>
          <t>OPEX</t>
        </is>
      </c>
      <c r="G277" s="12" t="inlineStr">
        <is>
          <t>Operating Expenses</t>
        </is>
      </c>
      <c r="H277" s="12" t="inlineStr">
        <is>
          <t>FINANCE</t>
        </is>
      </c>
      <c r="I277" s="12" t="inlineStr">
        <is>
          <t>Finance Costs</t>
        </is>
      </c>
      <c r="J277" s="13" t="n">
        <v>2247</v>
      </c>
    </row>
    <row r="278">
      <c r="A278" s="40" t="n">
        <v>46250</v>
      </c>
      <c r="B278" s="12" t="inlineStr">
        <is>
          <t>J41274</t>
        </is>
      </c>
      <c r="C278" s="12" t="n">
        <v>8</v>
      </c>
      <c r="D278" s="12" t="inlineStr">
        <is>
          <t>SALES</t>
        </is>
      </c>
      <c r="E278" s="12" t="inlineStr">
        <is>
          <t>Direct Sales</t>
        </is>
      </c>
      <c r="F278" s="12" t="inlineStr">
        <is>
          <t>REVENUE</t>
        </is>
      </c>
      <c r="G278" s="12" t="inlineStr">
        <is>
          <t>Revenue</t>
        </is>
      </c>
      <c r="H278" s="12" t="inlineStr">
        <is>
          <t>REVENUE_PROD</t>
        </is>
      </c>
      <c r="I278" s="12" t="inlineStr">
        <is>
          <t>Product Revenue</t>
        </is>
      </c>
      <c r="J278" s="13" t="n">
        <v>428766</v>
      </c>
    </row>
    <row r="279">
      <c r="A279" s="40" t="n">
        <v>46251</v>
      </c>
      <c r="B279" s="12" t="inlineStr">
        <is>
          <t>J41275</t>
        </is>
      </c>
      <c r="C279" s="12" t="n">
        <v>8</v>
      </c>
      <c r="D279" s="12" t="inlineStr">
        <is>
          <t>CHANNEL</t>
        </is>
      </c>
      <c r="E279" s="12" t="inlineStr">
        <is>
          <t>Distributor Channel</t>
        </is>
      </c>
      <c r="F279" s="12" t="inlineStr">
        <is>
          <t>REVENUE</t>
        </is>
      </c>
      <c r="G279" s="12" t="inlineStr">
        <is>
          <t>Revenue</t>
        </is>
      </c>
      <c r="H279" s="12" t="inlineStr">
        <is>
          <t>REVENUE_PROD</t>
        </is>
      </c>
      <c r="I279" s="12" t="inlineStr">
        <is>
          <t>Product Revenue</t>
        </is>
      </c>
      <c r="J279" s="13" t="n">
        <v>232968</v>
      </c>
    </row>
    <row r="280">
      <c r="A280" s="40" t="n">
        <v>46254</v>
      </c>
      <c r="B280" s="12" t="inlineStr">
        <is>
          <t>J41276</t>
        </is>
      </c>
      <c r="C280" s="12" t="n">
        <v>8</v>
      </c>
      <c r="D280" s="12" t="inlineStr">
        <is>
          <t>SERVICE</t>
        </is>
      </c>
      <c r="E280" s="12" t="inlineStr">
        <is>
          <t>Service and Support</t>
        </is>
      </c>
      <c r="F280" s="12" t="inlineStr">
        <is>
          <t>REVENUE</t>
        </is>
      </c>
      <c r="G280" s="12" t="inlineStr">
        <is>
          <t>Revenue</t>
        </is>
      </c>
      <c r="H280" s="12" t="inlineStr">
        <is>
          <t>REVENUE_PROD</t>
        </is>
      </c>
      <c r="I280" s="12" t="inlineStr">
        <is>
          <t>Product Revenue</t>
        </is>
      </c>
      <c r="J280" s="13" t="n">
        <v>125923</v>
      </c>
    </row>
    <row r="281">
      <c r="A281" s="40" t="n">
        <v>46261</v>
      </c>
      <c r="B281" s="12" t="inlineStr">
        <is>
          <t>J41277</t>
        </is>
      </c>
      <c r="C281" s="12" t="n">
        <v>8</v>
      </c>
      <c r="D281" s="12" t="inlineStr">
        <is>
          <t>SALES</t>
        </is>
      </c>
      <c r="E281" s="12" t="inlineStr">
        <is>
          <t>Direct Sales</t>
        </is>
      </c>
      <c r="F281" s="12" t="inlineStr">
        <is>
          <t>REVENUE</t>
        </is>
      </c>
      <c r="G281" s="12" t="inlineStr">
        <is>
          <t>Revenue</t>
        </is>
      </c>
      <c r="H281" s="12" t="inlineStr">
        <is>
          <t>REVENUE_SVC</t>
        </is>
      </c>
      <c r="I281" s="12" t="inlineStr">
        <is>
          <t>Service Revenue</t>
        </is>
      </c>
      <c r="J281" s="13" t="n">
        <v>3770</v>
      </c>
    </row>
    <row r="282">
      <c r="A282" s="40" t="n">
        <v>46244</v>
      </c>
      <c r="B282" s="12" t="inlineStr">
        <is>
          <t>J41278</t>
        </is>
      </c>
      <c r="C282" s="12" t="n">
        <v>8</v>
      </c>
      <c r="D282" s="12" t="inlineStr">
        <is>
          <t>CHANNEL</t>
        </is>
      </c>
      <c r="E282" s="12" t="inlineStr">
        <is>
          <t>Distributor Channel</t>
        </is>
      </c>
      <c r="F282" s="12" t="inlineStr">
        <is>
          <t>REVENUE</t>
        </is>
      </c>
      <c r="G282" s="12" t="inlineStr">
        <is>
          <t>Revenue</t>
        </is>
      </c>
      <c r="H282" s="12" t="inlineStr">
        <is>
          <t>REVENUE_SVC</t>
        </is>
      </c>
      <c r="I282" s="12" t="inlineStr">
        <is>
          <t>Service Revenue</t>
        </is>
      </c>
      <c r="J282" s="13" t="n">
        <v>3960</v>
      </c>
    </row>
    <row r="283">
      <c r="A283" s="40" t="n">
        <v>46248</v>
      </c>
      <c r="B283" s="12" t="inlineStr">
        <is>
          <t>J41279</t>
        </is>
      </c>
      <c r="C283" s="12" t="n">
        <v>8</v>
      </c>
      <c r="D283" s="12" t="inlineStr">
        <is>
          <t>SERVICE</t>
        </is>
      </c>
      <c r="E283" s="12" t="inlineStr">
        <is>
          <t>Service and Support</t>
        </is>
      </c>
      <c r="F283" s="12" t="inlineStr">
        <is>
          <t>REVENUE</t>
        </is>
      </c>
      <c r="G283" s="12" t="inlineStr">
        <is>
          <t>Revenue</t>
        </is>
      </c>
      <c r="H283" s="12" t="inlineStr">
        <is>
          <t>REVENUE_SVC</t>
        </is>
      </c>
      <c r="I283" s="12" t="inlineStr">
        <is>
          <t>Service Revenue</t>
        </is>
      </c>
      <c r="J283" s="13" t="n">
        <v>70369</v>
      </c>
    </row>
    <row r="284">
      <c r="A284" s="40" t="n">
        <v>46250</v>
      </c>
      <c r="B284" s="12" t="inlineStr">
        <is>
          <t>J41280</t>
        </is>
      </c>
      <c r="C284" s="12" t="n">
        <v>8</v>
      </c>
      <c r="D284" s="12" t="inlineStr">
        <is>
          <t>SALES</t>
        </is>
      </c>
      <c r="E284" s="12" t="inlineStr">
        <is>
          <t>Direct Sales</t>
        </is>
      </c>
      <c r="F284" s="12" t="inlineStr">
        <is>
          <t>COGS</t>
        </is>
      </c>
      <c r="G284" s="12" t="inlineStr">
        <is>
          <t>Cost of Sales</t>
        </is>
      </c>
      <c r="H284" s="12" t="inlineStr">
        <is>
          <t>COGS</t>
        </is>
      </c>
      <c r="I284" s="12" t="inlineStr">
        <is>
          <t>Cost of Goods Sold</t>
        </is>
      </c>
      <c r="J284" s="13" t="n">
        <v>310403</v>
      </c>
    </row>
    <row r="285">
      <c r="A285" s="40" t="n">
        <v>46248</v>
      </c>
      <c r="B285" s="12" t="inlineStr">
        <is>
          <t>J41281</t>
        </is>
      </c>
      <c r="C285" s="12" t="n">
        <v>8</v>
      </c>
      <c r="D285" s="12" t="inlineStr">
        <is>
          <t>CHANNEL</t>
        </is>
      </c>
      <c r="E285" s="12" t="inlineStr">
        <is>
          <t>Distributor Channel</t>
        </is>
      </c>
      <c r="F285" s="12" t="inlineStr">
        <is>
          <t>COGS</t>
        </is>
      </c>
      <c r="G285" s="12" t="inlineStr">
        <is>
          <t>Cost of Sales</t>
        </is>
      </c>
      <c r="H285" s="12" t="inlineStr">
        <is>
          <t>COGS</t>
        </is>
      </c>
      <c r="I285" s="12" t="inlineStr">
        <is>
          <t>Cost of Goods Sold</t>
        </is>
      </c>
      <c r="J285" s="13" t="n">
        <v>167875</v>
      </c>
    </row>
    <row r="286">
      <c r="A286" s="40" t="n">
        <v>46250</v>
      </c>
      <c r="B286" s="12" t="inlineStr">
        <is>
          <t>J41282</t>
        </is>
      </c>
      <c r="C286" s="12" t="n">
        <v>8</v>
      </c>
      <c r="D286" s="12" t="inlineStr">
        <is>
          <t>SERVICE</t>
        </is>
      </c>
      <c r="E286" s="12" t="inlineStr">
        <is>
          <t>Service and Support</t>
        </is>
      </c>
      <c r="F286" s="12" t="inlineStr">
        <is>
          <t>COGS</t>
        </is>
      </c>
      <c r="G286" s="12" t="inlineStr">
        <is>
          <t>Cost of Sales</t>
        </is>
      </c>
      <c r="H286" s="12" t="inlineStr">
        <is>
          <t>COGS</t>
        </is>
      </c>
      <c r="I286" s="12" t="inlineStr">
        <is>
          <t>Cost of Goods Sold</t>
        </is>
      </c>
      <c r="J286" s="13" t="n">
        <v>85202</v>
      </c>
    </row>
    <row r="287">
      <c r="A287" s="40" t="n">
        <v>46252</v>
      </c>
      <c r="B287" s="12" t="inlineStr">
        <is>
          <t>J41283</t>
        </is>
      </c>
      <c r="C287" s="12" t="n">
        <v>8</v>
      </c>
      <c r="D287" s="12" t="inlineStr">
        <is>
          <t>SALES</t>
        </is>
      </c>
      <c r="E287" s="12" t="inlineStr">
        <is>
          <t>Direct Sales</t>
        </is>
      </c>
      <c r="F287" s="12" t="inlineStr">
        <is>
          <t>OPEX</t>
        </is>
      </c>
      <c r="G287" s="12" t="inlineStr">
        <is>
          <t>Operating Expenses</t>
        </is>
      </c>
      <c r="H287" s="12" t="inlineStr">
        <is>
          <t>SALARY</t>
        </is>
      </c>
      <c r="I287" s="12" t="inlineStr">
        <is>
          <t>Payroll</t>
        </is>
      </c>
      <c r="J287" s="13" t="n">
        <v>74614</v>
      </c>
    </row>
    <row r="288">
      <c r="A288" s="40" t="n">
        <v>46239</v>
      </c>
      <c r="B288" s="12" t="inlineStr">
        <is>
          <t>J41284</t>
        </is>
      </c>
      <c r="C288" s="12" t="n">
        <v>8</v>
      </c>
      <c r="D288" s="12" t="inlineStr">
        <is>
          <t>CHANNEL</t>
        </is>
      </c>
      <c r="E288" s="12" t="inlineStr">
        <is>
          <t>Distributor Channel</t>
        </is>
      </c>
      <c r="F288" s="12" t="inlineStr">
        <is>
          <t>OPEX</t>
        </is>
      </c>
      <c r="G288" s="12" t="inlineStr">
        <is>
          <t>Operating Expenses</t>
        </is>
      </c>
      <c r="H288" s="12" t="inlineStr">
        <is>
          <t>SALARY</t>
        </is>
      </c>
      <c r="I288" s="12" t="inlineStr">
        <is>
          <t>Payroll</t>
        </is>
      </c>
      <c r="J288" s="13" t="n">
        <v>41636</v>
      </c>
    </row>
    <row r="289">
      <c r="A289" s="40" t="n">
        <v>46239</v>
      </c>
      <c r="B289" s="12" t="inlineStr">
        <is>
          <t>J41285</t>
        </is>
      </c>
      <c r="C289" s="12" t="n">
        <v>8</v>
      </c>
      <c r="D289" s="12" t="inlineStr">
        <is>
          <t>SERVICE</t>
        </is>
      </c>
      <c r="E289" s="12" t="inlineStr">
        <is>
          <t>Service and Support</t>
        </is>
      </c>
      <c r="F289" s="12" t="inlineStr">
        <is>
          <t>OPEX</t>
        </is>
      </c>
      <c r="G289" s="12" t="inlineStr">
        <is>
          <t>Operating Expenses</t>
        </is>
      </c>
      <c r="H289" s="12" t="inlineStr">
        <is>
          <t>SALARY</t>
        </is>
      </c>
      <c r="I289" s="12" t="inlineStr">
        <is>
          <t>Payroll</t>
        </is>
      </c>
      <c r="J289" s="13" t="n">
        <v>18822</v>
      </c>
    </row>
    <row r="290">
      <c r="A290" s="40" t="n">
        <v>46242</v>
      </c>
      <c r="B290" s="12" t="inlineStr">
        <is>
          <t>J41286</t>
        </is>
      </c>
      <c r="C290" s="12" t="n">
        <v>8</v>
      </c>
      <c r="D290" s="12" t="inlineStr">
        <is>
          <t>SALES</t>
        </is>
      </c>
      <c r="E290" s="12" t="inlineStr">
        <is>
          <t>Direct Sales</t>
        </is>
      </c>
      <c r="F290" s="12" t="inlineStr">
        <is>
          <t>OPEX</t>
        </is>
      </c>
      <c r="G290" s="12" t="inlineStr">
        <is>
          <t>Operating Expenses</t>
        </is>
      </c>
      <c r="H290" s="12" t="inlineStr">
        <is>
          <t>RENT</t>
        </is>
      </c>
      <c r="I290" s="12" t="inlineStr">
        <is>
          <t>Rent and Facilities</t>
        </is>
      </c>
      <c r="J290" s="13" t="n">
        <v>9871</v>
      </c>
    </row>
    <row r="291">
      <c r="A291" s="40" t="n">
        <v>46256</v>
      </c>
      <c r="B291" s="12" t="inlineStr">
        <is>
          <t>J41287</t>
        </is>
      </c>
      <c r="C291" s="12" t="n">
        <v>8</v>
      </c>
      <c r="D291" s="12" t="inlineStr">
        <is>
          <t>CHANNEL</t>
        </is>
      </c>
      <c r="E291" s="12" t="inlineStr">
        <is>
          <t>Distributor Channel</t>
        </is>
      </c>
      <c r="F291" s="12" t="inlineStr">
        <is>
          <t>OPEX</t>
        </is>
      </c>
      <c r="G291" s="12" t="inlineStr">
        <is>
          <t>Operating Expenses</t>
        </is>
      </c>
      <c r="H291" s="12" t="inlineStr">
        <is>
          <t>RENT</t>
        </is>
      </c>
      <c r="I291" s="12" t="inlineStr">
        <is>
          <t>Rent and Facilities</t>
        </is>
      </c>
      <c r="J291" s="13" t="n">
        <v>9557</v>
      </c>
    </row>
    <row r="292">
      <c r="A292" s="40" t="n">
        <v>46250</v>
      </c>
      <c r="B292" s="12" t="inlineStr">
        <is>
          <t>J41288</t>
        </is>
      </c>
      <c r="C292" s="12" t="n">
        <v>8</v>
      </c>
      <c r="D292" s="12" t="inlineStr">
        <is>
          <t>SERVICE</t>
        </is>
      </c>
      <c r="E292" s="12" t="inlineStr">
        <is>
          <t>Service and Support</t>
        </is>
      </c>
      <c r="F292" s="12" t="inlineStr">
        <is>
          <t>OPEX</t>
        </is>
      </c>
      <c r="G292" s="12" t="inlineStr">
        <is>
          <t>Operating Expenses</t>
        </is>
      </c>
      <c r="H292" s="12" t="inlineStr">
        <is>
          <t>RENT</t>
        </is>
      </c>
      <c r="I292" s="12" t="inlineStr">
        <is>
          <t>Rent and Facilities</t>
        </is>
      </c>
      <c r="J292" s="13" t="n">
        <v>8055</v>
      </c>
    </row>
    <row r="293">
      <c r="A293" s="40" t="n">
        <v>46257</v>
      </c>
      <c r="B293" s="12" t="inlineStr">
        <is>
          <t>J41289</t>
        </is>
      </c>
      <c r="C293" s="12" t="n">
        <v>8</v>
      </c>
      <c r="D293" s="12" t="inlineStr">
        <is>
          <t>SALES</t>
        </is>
      </c>
      <c r="E293" s="12" t="inlineStr">
        <is>
          <t>Direct Sales</t>
        </is>
      </c>
      <c r="F293" s="12" t="inlineStr">
        <is>
          <t>OPEX</t>
        </is>
      </c>
      <c r="G293" s="12" t="inlineStr">
        <is>
          <t>Operating Expenses</t>
        </is>
      </c>
      <c r="H293" s="12" t="inlineStr">
        <is>
          <t>VEHICLE</t>
        </is>
      </c>
      <c r="I293" s="12" t="inlineStr">
        <is>
          <t>Vehicle</t>
        </is>
      </c>
      <c r="J293" s="13" t="n">
        <v>9805</v>
      </c>
    </row>
    <row r="294">
      <c r="A294" s="40" t="n">
        <v>46237</v>
      </c>
      <c r="B294" s="12" t="inlineStr">
        <is>
          <t>J41290</t>
        </is>
      </c>
      <c r="C294" s="12" t="n">
        <v>8</v>
      </c>
      <c r="D294" s="12" t="inlineStr">
        <is>
          <t>CHANNEL</t>
        </is>
      </c>
      <c r="E294" s="12" t="inlineStr">
        <is>
          <t>Distributor Channel</t>
        </is>
      </c>
      <c r="F294" s="12" t="inlineStr">
        <is>
          <t>OPEX</t>
        </is>
      </c>
      <c r="G294" s="12" t="inlineStr">
        <is>
          <t>Operating Expenses</t>
        </is>
      </c>
      <c r="H294" s="12" t="inlineStr">
        <is>
          <t>VEHICLE</t>
        </is>
      </c>
      <c r="I294" s="12" t="inlineStr">
        <is>
          <t>Vehicle</t>
        </is>
      </c>
      <c r="J294" s="13" t="n">
        <v>5589</v>
      </c>
    </row>
    <row r="295">
      <c r="A295" s="40" t="n">
        <v>46258</v>
      </c>
      <c r="B295" s="12" t="inlineStr">
        <is>
          <t>J41291</t>
        </is>
      </c>
      <c r="C295" s="12" t="n">
        <v>8</v>
      </c>
      <c r="D295" s="12" t="inlineStr">
        <is>
          <t>SERVICE</t>
        </is>
      </c>
      <c r="E295" s="12" t="inlineStr">
        <is>
          <t>Service and Support</t>
        </is>
      </c>
      <c r="F295" s="12" t="inlineStr">
        <is>
          <t>OPEX</t>
        </is>
      </c>
      <c r="G295" s="12" t="inlineStr">
        <is>
          <t>Operating Expenses</t>
        </is>
      </c>
      <c r="H295" s="12" t="inlineStr">
        <is>
          <t>VEHICLE</t>
        </is>
      </c>
      <c r="I295" s="12" t="inlineStr">
        <is>
          <t>Vehicle</t>
        </is>
      </c>
      <c r="J295" s="13" t="n">
        <v>2682</v>
      </c>
    </row>
    <row r="296">
      <c r="A296" s="40" t="n">
        <v>46251</v>
      </c>
      <c r="B296" s="12" t="inlineStr">
        <is>
          <t>J41292</t>
        </is>
      </c>
      <c r="C296" s="12" t="n">
        <v>8</v>
      </c>
      <c r="D296" s="12" t="inlineStr">
        <is>
          <t>SALES</t>
        </is>
      </c>
      <c r="E296" s="12" t="inlineStr">
        <is>
          <t>Direct Sales</t>
        </is>
      </c>
      <c r="F296" s="12" t="inlineStr">
        <is>
          <t>OPEX</t>
        </is>
      </c>
      <c r="G296" s="12" t="inlineStr">
        <is>
          <t>Operating Expenses</t>
        </is>
      </c>
      <c r="H296" s="12" t="inlineStr">
        <is>
          <t>MARKETING</t>
        </is>
      </c>
      <c r="I296" s="12" t="inlineStr">
        <is>
          <t>Marketing</t>
        </is>
      </c>
      <c r="J296" s="13" t="n">
        <v>15412</v>
      </c>
    </row>
    <row r="297">
      <c r="A297" s="40" t="n">
        <v>46248</v>
      </c>
      <c r="B297" s="12" t="inlineStr">
        <is>
          <t>J41293</t>
        </is>
      </c>
      <c r="C297" s="12" t="n">
        <v>8</v>
      </c>
      <c r="D297" s="12" t="inlineStr">
        <is>
          <t>CHANNEL</t>
        </is>
      </c>
      <c r="E297" s="12" t="inlineStr">
        <is>
          <t>Distributor Channel</t>
        </is>
      </c>
      <c r="F297" s="12" t="inlineStr">
        <is>
          <t>OPEX</t>
        </is>
      </c>
      <c r="G297" s="12" t="inlineStr">
        <is>
          <t>Operating Expenses</t>
        </is>
      </c>
      <c r="H297" s="12" t="inlineStr">
        <is>
          <t>MARKETING</t>
        </is>
      </c>
      <c r="I297" s="12" t="inlineStr">
        <is>
          <t>Marketing</t>
        </is>
      </c>
      <c r="J297" s="13" t="n">
        <v>8377</v>
      </c>
    </row>
    <row r="298">
      <c r="A298" s="40" t="n">
        <v>46260</v>
      </c>
      <c r="B298" s="12" t="inlineStr">
        <is>
          <t>J41294</t>
        </is>
      </c>
      <c r="C298" s="12" t="n">
        <v>8</v>
      </c>
      <c r="D298" s="12" t="inlineStr">
        <is>
          <t>SERVICE</t>
        </is>
      </c>
      <c r="E298" s="12" t="inlineStr">
        <is>
          <t>Service and Support</t>
        </is>
      </c>
      <c r="F298" s="12" t="inlineStr">
        <is>
          <t>OPEX</t>
        </is>
      </c>
      <c r="G298" s="12" t="inlineStr">
        <is>
          <t>Operating Expenses</t>
        </is>
      </c>
      <c r="H298" s="12" t="inlineStr">
        <is>
          <t>MARKETING</t>
        </is>
      </c>
      <c r="I298" s="12" t="inlineStr">
        <is>
          <t>Marketing</t>
        </is>
      </c>
      <c r="J298" s="13" t="n">
        <v>4443</v>
      </c>
    </row>
    <row r="299">
      <c r="A299" s="40" t="n">
        <v>46261</v>
      </c>
      <c r="B299" s="12" t="inlineStr">
        <is>
          <t>J41295</t>
        </is>
      </c>
      <c r="C299" s="12" t="n">
        <v>8</v>
      </c>
      <c r="D299" s="12" t="inlineStr">
        <is>
          <t>SALES</t>
        </is>
      </c>
      <c r="E299" s="12" t="inlineStr">
        <is>
          <t>Direct Sales</t>
        </is>
      </c>
      <c r="F299" s="12" t="inlineStr">
        <is>
          <t>OPEX</t>
        </is>
      </c>
      <c r="G299" s="12" t="inlineStr">
        <is>
          <t>Operating Expenses</t>
        </is>
      </c>
      <c r="H299" s="12" t="inlineStr">
        <is>
          <t>ENTERTAIN</t>
        </is>
      </c>
      <c r="I299" s="12" t="inlineStr">
        <is>
          <t>Entertainment</t>
        </is>
      </c>
      <c r="J299" s="13" t="n">
        <v>2338</v>
      </c>
    </row>
    <row r="300">
      <c r="A300" s="40" t="n">
        <v>46245</v>
      </c>
      <c r="B300" s="12" t="inlineStr">
        <is>
          <t>J41296</t>
        </is>
      </c>
      <c r="C300" s="12" t="n">
        <v>8</v>
      </c>
      <c r="D300" s="12" t="inlineStr">
        <is>
          <t>CHANNEL</t>
        </is>
      </c>
      <c r="E300" s="12" t="inlineStr">
        <is>
          <t>Distributor Channel</t>
        </is>
      </c>
      <c r="F300" s="12" t="inlineStr">
        <is>
          <t>OPEX</t>
        </is>
      </c>
      <c r="G300" s="12" t="inlineStr">
        <is>
          <t>Operating Expenses</t>
        </is>
      </c>
      <c r="H300" s="12" t="inlineStr">
        <is>
          <t>ENTERTAIN</t>
        </is>
      </c>
      <c r="I300" s="12" t="inlineStr">
        <is>
          <t>Entertainment</t>
        </is>
      </c>
      <c r="J300" s="13" t="n">
        <v>1188</v>
      </c>
    </row>
    <row r="301">
      <c r="A301" s="40" t="n">
        <v>46260</v>
      </c>
      <c r="B301" s="12" t="inlineStr">
        <is>
          <t>J41297</t>
        </is>
      </c>
      <c r="C301" s="12" t="n">
        <v>8</v>
      </c>
      <c r="D301" s="12" t="inlineStr">
        <is>
          <t>SERVICE</t>
        </is>
      </c>
      <c r="E301" s="12" t="inlineStr">
        <is>
          <t>Service and Support</t>
        </is>
      </c>
      <c r="F301" s="12" t="inlineStr">
        <is>
          <t>OPEX</t>
        </is>
      </c>
      <c r="G301" s="12" t="inlineStr">
        <is>
          <t>Operating Expenses</t>
        </is>
      </c>
      <c r="H301" s="12" t="inlineStr">
        <is>
          <t>ENTERTAIN</t>
        </is>
      </c>
      <c r="I301" s="12" t="inlineStr">
        <is>
          <t>Entertainment</t>
        </is>
      </c>
      <c r="J301" s="13" t="n">
        <v>685</v>
      </c>
    </row>
    <row r="302">
      <c r="A302" s="40" t="n">
        <v>46256</v>
      </c>
      <c r="B302" s="12" t="inlineStr">
        <is>
          <t>J41298</t>
        </is>
      </c>
      <c r="C302" s="12" t="n">
        <v>8</v>
      </c>
      <c r="D302" s="12" t="inlineStr">
        <is>
          <t>SALES</t>
        </is>
      </c>
      <c r="E302" s="12" t="inlineStr">
        <is>
          <t>Direct Sales</t>
        </is>
      </c>
      <c r="F302" s="12" t="inlineStr">
        <is>
          <t>OPEX</t>
        </is>
      </c>
      <c r="G302" s="12" t="inlineStr">
        <is>
          <t>Operating Expenses</t>
        </is>
      </c>
      <c r="H302" s="12" t="inlineStr">
        <is>
          <t>OFFICE</t>
        </is>
      </c>
      <c r="I302" s="12" t="inlineStr">
        <is>
          <t>Office</t>
        </is>
      </c>
      <c r="J302" s="13" t="n">
        <v>5180</v>
      </c>
    </row>
    <row r="303">
      <c r="A303" s="40" t="n">
        <v>46249</v>
      </c>
      <c r="B303" s="12" t="inlineStr">
        <is>
          <t>J41299</t>
        </is>
      </c>
      <c r="C303" s="12" t="n">
        <v>8</v>
      </c>
      <c r="D303" s="12" t="inlineStr">
        <is>
          <t>CHANNEL</t>
        </is>
      </c>
      <c r="E303" s="12" t="inlineStr">
        <is>
          <t>Distributor Channel</t>
        </is>
      </c>
      <c r="F303" s="12" t="inlineStr">
        <is>
          <t>OPEX</t>
        </is>
      </c>
      <c r="G303" s="12" t="inlineStr">
        <is>
          <t>Operating Expenses</t>
        </is>
      </c>
      <c r="H303" s="12" t="inlineStr">
        <is>
          <t>OFFICE</t>
        </is>
      </c>
      <c r="I303" s="12" t="inlineStr">
        <is>
          <t>Office</t>
        </is>
      </c>
      <c r="J303" s="13" t="n">
        <v>2511</v>
      </c>
    </row>
    <row r="304">
      <c r="A304" s="40" t="n">
        <v>46259</v>
      </c>
      <c r="B304" s="12" t="inlineStr">
        <is>
          <t>J41300</t>
        </is>
      </c>
      <c r="C304" s="12" t="n">
        <v>8</v>
      </c>
      <c r="D304" s="12" t="inlineStr">
        <is>
          <t>SERVICE</t>
        </is>
      </c>
      <c r="E304" s="12" t="inlineStr">
        <is>
          <t>Service and Support</t>
        </is>
      </c>
      <c r="F304" s="12" t="inlineStr">
        <is>
          <t>OPEX</t>
        </is>
      </c>
      <c r="G304" s="12" t="inlineStr">
        <is>
          <t>Operating Expenses</t>
        </is>
      </c>
      <c r="H304" s="12" t="inlineStr">
        <is>
          <t>OFFICE</t>
        </is>
      </c>
      <c r="I304" s="12" t="inlineStr">
        <is>
          <t>Office</t>
        </is>
      </c>
      <c r="J304" s="13" t="n">
        <v>1182</v>
      </c>
    </row>
    <row r="305">
      <c r="A305" s="40" t="n">
        <v>46252</v>
      </c>
      <c r="B305" s="12" t="inlineStr">
        <is>
          <t>J41301</t>
        </is>
      </c>
      <c r="C305" s="12" t="n">
        <v>8</v>
      </c>
      <c r="D305" s="12" t="inlineStr">
        <is>
          <t>SALES</t>
        </is>
      </c>
      <c r="E305" s="12" t="inlineStr">
        <is>
          <t>Direct Sales</t>
        </is>
      </c>
      <c r="F305" s="12" t="inlineStr">
        <is>
          <t>OPEX</t>
        </is>
      </c>
      <c r="G305" s="12" t="inlineStr">
        <is>
          <t>Operating Expenses</t>
        </is>
      </c>
      <c r="H305" s="12" t="inlineStr">
        <is>
          <t>MERCHANT</t>
        </is>
      </c>
      <c r="I305" s="12" t="inlineStr">
        <is>
          <t>Merchant Fees</t>
        </is>
      </c>
      <c r="J305" s="13" t="n">
        <v>5126</v>
      </c>
    </row>
    <row r="306">
      <c r="A306" s="40" t="n">
        <v>46245</v>
      </c>
      <c r="B306" s="12" t="inlineStr">
        <is>
          <t>J41302</t>
        </is>
      </c>
      <c r="C306" s="12" t="n">
        <v>8</v>
      </c>
      <c r="D306" s="12" t="inlineStr">
        <is>
          <t>CHANNEL</t>
        </is>
      </c>
      <c r="E306" s="12" t="inlineStr">
        <is>
          <t>Distributor Channel</t>
        </is>
      </c>
      <c r="F306" s="12" t="inlineStr">
        <is>
          <t>OPEX</t>
        </is>
      </c>
      <c r="G306" s="12" t="inlineStr">
        <is>
          <t>Operating Expenses</t>
        </is>
      </c>
      <c r="H306" s="12" t="inlineStr">
        <is>
          <t>MERCHANT</t>
        </is>
      </c>
      <c r="I306" s="12" t="inlineStr">
        <is>
          <t>Merchant Fees</t>
        </is>
      </c>
      <c r="J306" s="13" t="n">
        <v>3021</v>
      </c>
    </row>
    <row r="307">
      <c r="A307" s="40" t="n">
        <v>46249</v>
      </c>
      <c r="B307" s="12" t="inlineStr">
        <is>
          <t>J41303</t>
        </is>
      </c>
      <c r="C307" s="12" t="n">
        <v>8</v>
      </c>
      <c r="D307" s="12" t="inlineStr">
        <is>
          <t>SERVICE</t>
        </is>
      </c>
      <c r="E307" s="12" t="inlineStr">
        <is>
          <t>Service and Support</t>
        </is>
      </c>
      <c r="F307" s="12" t="inlineStr">
        <is>
          <t>OPEX</t>
        </is>
      </c>
      <c r="G307" s="12" t="inlineStr">
        <is>
          <t>Operating Expenses</t>
        </is>
      </c>
      <c r="H307" s="12" t="inlineStr">
        <is>
          <t>MERCHANT</t>
        </is>
      </c>
      <c r="I307" s="12" t="inlineStr">
        <is>
          <t>Merchant Fees</t>
        </is>
      </c>
      <c r="J307" s="13" t="n">
        <v>1622</v>
      </c>
    </row>
    <row r="308">
      <c r="A308" s="40" t="n">
        <v>46261</v>
      </c>
      <c r="B308" s="12" t="inlineStr">
        <is>
          <t>J41304</t>
        </is>
      </c>
      <c r="C308" s="12" t="n">
        <v>8</v>
      </c>
      <c r="D308" s="12" t="inlineStr">
        <is>
          <t>SALES</t>
        </is>
      </c>
      <c r="E308" s="12" t="inlineStr">
        <is>
          <t>Direct Sales</t>
        </is>
      </c>
      <c r="F308" s="12" t="inlineStr">
        <is>
          <t>OPEX</t>
        </is>
      </c>
      <c r="G308" s="12" t="inlineStr">
        <is>
          <t>Operating Expenses</t>
        </is>
      </c>
      <c r="H308" s="12" t="inlineStr">
        <is>
          <t>PROFSVC</t>
        </is>
      </c>
      <c r="I308" s="12" t="inlineStr">
        <is>
          <t>Professional Fees</t>
        </is>
      </c>
      <c r="J308" s="13" t="n">
        <v>5821</v>
      </c>
    </row>
    <row r="309">
      <c r="A309" s="40" t="n">
        <v>46256</v>
      </c>
      <c r="B309" s="12" t="inlineStr">
        <is>
          <t>J41305</t>
        </is>
      </c>
      <c r="C309" s="12" t="n">
        <v>8</v>
      </c>
      <c r="D309" s="12" t="inlineStr">
        <is>
          <t>CHANNEL</t>
        </is>
      </c>
      <c r="E309" s="12" t="inlineStr">
        <is>
          <t>Distributor Channel</t>
        </is>
      </c>
      <c r="F309" s="12" t="inlineStr">
        <is>
          <t>OPEX</t>
        </is>
      </c>
      <c r="G309" s="12" t="inlineStr">
        <is>
          <t>Operating Expenses</t>
        </is>
      </c>
      <c r="H309" s="12" t="inlineStr">
        <is>
          <t>PROFSVC</t>
        </is>
      </c>
      <c r="I309" s="12" t="inlineStr">
        <is>
          <t>Professional Fees</t>
        </is>
      </c>
      <c r="J309" s="13" t="n">
        <v>3733</v>
      </c>
    </row>
    <row r="310">
      <c r="A310" s="40" t="n">
        <v>46244</v>
      </c>
      <c r="B310" s="12" t="inlineStr">
        <is>
          <t>J41306</t>
        </is>
      </c>
      <c r="C310" s="12" t="n">
        <v>8</v>
      </c>
      <c r="D310" s="12" t="inlineStr">
        <is>
          <t>SERVICE</t>
        </is>
      </c>
      <c r="E310" s="12" t="inlineStr">
        <is>
          <t>Service and Support</t>
        </is>
      </c>
      <c r="F310" s="12" t="inlineStr">
        <is>
          <t>OPEX</t>
        </is>
      </c>
      <c r="G310" s="12" t="inlineStr">
        <is>
          <t>Operating Expenses</t>
        </is>
      </c>
      <c r="H310" s="12" t="inlineStr">
        <is>
          <t>PROFSVC</t>
        </is>
      </c>
      <c r="I310" s="12" t="inlineStr">
        <is>
          <t>Professional Fees</t>
        </is>
      </c>
      <c r="J310" s="13" t="n">
        <v>1684</v>
      </c>
    </row>
    <row r="311">
      <c r="A311" s="40" t="n">
        <v>46252</v>
      </c>
      <c r="B311" s="12" t="inlineStr">
        <is>
          <t>J41307</t>
        </is>
      </c>
      <c r="C311" s="12" t="n">
        <v>8</v>
      </c>
      <c r="D311" s="12" t="inlineStr">
        <is>
          <t>SALES</t>
        </is>
      </c>
      <c r="E311" s="12" t="inlineStr">
        <is>
          <t>Direct Sales</t>
        </is>
      </c>
      <c r="F311" s="12" t="inlineStr">
        <is>
          <t>OPEX</t>
        </is>
      </c>
      <c r="G311" s="12" t="inlineStr">
        <is>
          <t>Operating Expenses</t>
        </is>
      </c>
      <c r="H311" s="12" t="inlineStr">
        <is>
          <t>DEPREC</t>
        </is>
      </c>
      <c r="I311" s="12" t="inlineStr">
        <is>
          <t>Depreciation</t>
        </is>
      </c>
      <c r="J311" s="13" t="n">
        <v>4463</v>
      </c>
    </row>
    <row r="312">
      <c r="A312" s="40" t="n">
        <v>46238</v>
      </c>
      <c r="B312" s="12" t="inlineStr">
        <is>
          <t>J41308</t>
        </is>
      </c>
      <c r="C312" s="12" t="n">
        <v>8</v>
      </c>
      <c r="D312" s="12" t="inlineStr">
        <is>
          <t>CHANNEL</t>
        </is>
      </c>
      <c r="E312" s="12" t="inlineStr">
        <is>
          <t>Distributor Channel</t>
        </is>
      </c>
      <c r="F312" s="12" t="inlineStr">
        <is>
          <t>OPEX</t>
        </is>
      </c>
      <c r="G312" s="12" t="inlineStr">
        <is>
          <t>Operating Expenses</t>
        </is>
      </c>
      <c r="H312" s="12" t="inlineStr">
        <is>
          <t>DEPREC</t>
        </is>
      </c>
      <c r="I312" s="12" t="inlineStr">
        <is>
          <t>Depreciation</t>
        </is>
      </c>
      <c r="J312" s="13" t="n">
        <v>3647</v>
      </c>
    </row>
    <row r="313">
      <c r="A313" s="40" t="n">
        <v>46252</v>
      </c>
      <c r="B313" s="12" t="inlineStr">
        <is>
          <t>J41309</t>
        </is>
      </c>
      <c r="C313" s="12" t="n">
        <v>8</v>
      </c>
      <c r="D313" s="12" t="inlineStr">
        <is>
          <t>SERVICE</t>
        </is>
      </c>
      <c r="E313" s="12" t="inlineStr">
        <is>
          <t>Service and Support</t>
        </is>
      </c>
      <c r="F313" s="12" t="inlineStr">
        <is>
          <t>OPEX</t>
        </is>
      </c>
      <c r="G313" s="12" t="inlineStr">
        <is>
          <t>Operating Expenses</t>
        </is>
      </c>
      <c r="H313" s="12" t="inlineStr">
        <is>
          <t>DEPREC</t>
        </is>
      </c>
      <c r="I313" s="12" t="inlineStr">
        <is>
          <t>Depreciation</t>
        </is>
      </c>
      <c r="J313" s="13" t="n">
        <v>4113</v>
      </c>
    </row>
    <row r="314">
      <c r="A314" s="40" t="n">
        <v>46244</v>
      </c>
      <c r="B314" s="12" t="inlineStr">
        <is>
          <t>J41310</t>
        </is>
      </c>
      <c r="C314" s="12" t="n">
        <v>8</v>
      </c>
      <c r="D314" s="12" t="inlineStr">
        <is>
          <t>SALES</t>
        </is>
      </c>
      <c r="E314" s="12" t="inlineStr">
        <is>
          <t>Direct Sales</t>
        </is>
      </c>
      <c r="F314" s="12" t="inlineStr">
        <is>
          <t>OPEX</t>
        </is>
      </c>
      <c r="G314" s="12" t="inlineStr">
        <is>
          <t>Operating Expenses</t>
        </is>
      </c>
      <c r="H314" s="12" t="inlineStr">
        <is>
          <t>FINANCE</t>
        </is>
      </c>
      <c r="I314" s="12" t="inlineStr">
        <is>
          <t>Finance Costs</t>
        </is>
      </c>
      <c r="J314" s="13" t="n">
        <v>2056</v>
      </c>
    </row>
    <row r="315">
      <c r="A315" s="40" t="n">
        <v>46249</v>
      </c>
      <c r="B315" s="12" t="inlineStr">
        <is>
          <t>J41311</t>
        </is>
      </c>
      <c r="C315" s="12" t="n">
        <v>8</v>
      </c>
      <c r="D315" s="12" t="inlineStr">
        <is>
          <t>CHANNEL</t>
        </is>
      </c>
      <c r="E315" s="12" t="inlineStr">
        <is>
          <t>Distributor Channel</t>
        </is>
      </c>
      <c r="F315" s="12" t="inlineStr">
        <is>
          <t>OPEX</t>
        </is>
      </c>
      <c r="G315" s="12" t="inlineStr">
        <is>
          <t>Operating Expenses</t>
        </is>
      </c>
      <c r="H315" s="12" t="inlineStr">
        <is>
          <t>FINANCE</t>
        </is>
      </c>
      <c r="I315" s="12" t="inlineStr">
        <is>
          <t>Finance Costs</t>
        </is>
      </c>
      <c r="J315" s="13" t="n">
        <v>2227</v>
      </c>
    </row>
    <row r="316">
      <c r="A316" s="40" t="n">
        <v>46239</v>
      </c>
      <c r="B316" s="12" t="inlineStr">
        <is>
          <t>J41312</t>
        </is>
      </c>
      <c r="C316" s="12" t="n">
        <v>8</v>
      </c>
      <c r="D316" s="12" t="inlineStr">
        <is>
          <t>SERVICE</t>
        </is>
      </c>
      <c r="E316" s="12" t="inlineStr">
        <is>
          <t>Service and Support</t>
        </is>
      </c>
      <c r="F316" s="12" t="inlineStr">
        <is>
          <t>OPEX</t>
        </is>
      </c>
      <c r="G316" s="12" t="inlineStr">
        <is>
          <t>Operating Expenses</t>
        </is>
      </c>
      <c r="H316" s="12" t="inlineStr">
        <is>
          <t>FINANCE</t>
        </is>
      </c>
      <c r="I316" s="12" t="inlineStr">
        <is>
          <t>Finance Costs</t>
        </is>
      </c>
      <c r="J316" s="13" t="n">
        <v>1951</v>
      </c>
    </row>
    <row r="317">
      <c r="A317" s="40" t="n">
        <v>46275</v>
      </c>
      <c r="B317" s="12" t="inlineStr">
        <is>
          <t>J41313</t>
        </is>
      </c>
      <c r="C317" s="12" t="n">
        <v>9</v>
      </c>
      <c r="D317" s="12" t="inlineStr">
        <is>
          <t>SALES</t>
        </is>
      </c>
      <c r="E317" s="12" t="inlineStr">
        <is>
          <t>Direct Sales</t>
        </is>
      </c>
      <c r="F317" s="12" t="inlineStr">
        <is>
          <t>REVENUE</t>
        </is>
      </c>
      <c r="G317" s="12" t="inlineStr">
        <is>
          <t>Revenue</t>
        </is>
      </c>
      <c r="H317" s="12" t="inlineStr">
        <is>
          <t>REVENUE_PROD</t>
        </is>
      </c>
      <c r="I317" s="12" t="inlineStr">
        <is>
          <t>Product Revenue</t>
        </is>
      </c>
      <c r="J317" s="13" t="n">
        <v>648349</v>
      </c>
    </row>
    <row r="318">
      <c r="A318" s="40" t="n">
        <v>46270</v>
      </c>
      <c r="B318" s="12" t="inlineStr">
        <is>
          <t>J41314</t>
        </is>
      </c>
      <c r="C318" s="12" t="n">
        <v>9</v>
      </c>
      <c r="D318" s="12" t="inlineStr">
        <is>
          <t>CHANNEL</t>
        </is>
      </c>
      <c r="E318" s="12" t="inlineStr">
        <is>
          <t>Distributor Channel</t>
        </is>
      </c>
      <c r="F318" s="12" t="inlineStr">
        <is>
          <t>REVENUE</t>
        </is>
      </c>
      <c r="G318" s="12" t="inlineStr">
        <is>
          <t>Revenue</t>
        </is>
      </c>
      <c r="H318" s="12" t="inlineStr">
        <is>
          <t>REVENUE_PROD</t>
        </is>
      </c>
      <c r="I318" s="12" t="inlineStr">
        <is>
          <t>Product Revenue</t>
        </is>
      </c>
      <c r="J318" s="13" t="n">
        <v>343262</v>
      </c>
    </row>
    <row r="319">
      <c r="A319" s="40" t="n">
        <v>46272</v>
      </c>
      <c r="B319" s="12" t="inlineStr">
        <is>
          <t>J41315</t>
        </is>
      </c>
      <c r="C319" s="12" t="n">
        <v>9</v>
      </c>
      <c r="D319" s="12" t="inlineStr">
        <is>
          <t>SERVICE</t>
        </is>
      </c>
      <c r="E319" s="12" t="inlineStr">
        <is>
          <t>Service and Support</t>
        </is>
      </c>
      <c r="F319" s="12" t="inlineStr">
        <is>
          <t>REVENUE</t>
        </is>
      </c>
      <c r="G319" s="12" t="inlineStr">
        <is>
          <t>Revenue</t>
        </is>
      </c>
      <c r="H319" s="12" t="inlineStr">
        <is>
          <t>REVENUE_PROD</t>
        </is>
      </c>
      <c r="I319" s="12" t="inlineStr">
        <is>
          <t>Product Revenue</t>
        </is>
      </c>
      <c r="J319" s="13" t="n">
        <v>174112</v>
      </c>
    </row>
    <row r="320">
      <c r="A320" s="40" t="n">
        <v>46283</v>
      </c>
      <c r="B320" s="12" t="inlineStr">
        <is>
          <t>J41316</t>
        </is>
      </c>
      <c r="C320" s="12" t="n">
        <v>9</v>
      </c>
      <c r="D320" s="12" t="inlineStr">
        <is>
          <t>SALES</t>
        </is>
      </c>
      <c r="E320" s="12" t="inlineStr">
        <is>
          <t>Direct Sales</t>
        </is>
      </c>
      <c r="F320" s="12" t="inlineStr">
        <is>
          <t>REVENUE</t>
        </is>
      </c>
      <c r="G320" s="12" t="inlineStr">
        <is>
          <t>Revenue</t>
        </is>
      </c>
      <c r="H320" s="12" t="inlineStr">
        <is>
          <t>REVENUE_SVC</t>
        </is>
      </c>
      <c r="I320" s="12" t="inlineStr">
        <is>
          <t>Service Revenue</t>
        </is>
      </c>
      <c r="J320" s="13" t="n">
        <v>5734</v>
      </c>
    </row>
    <row r="321">
      <c r="A321" s="40" t="n">
        <v>46284</v>
      </c>
      <c r="B321" s="12" t="inlineStr">
        <is>
          <t>J41317</t>
        </is>
      </c>
      <c r="C321" s="12" t="n">
        <v>9</v>
      </c>
      <c r="D321" s="12" t="inlineStr">
        <is>
          <t>CHANNEL</t>
        </is>
      </c>
      <c r="E321" s="12" t="inlineStr">
        <is>
          <t>Distributor Channel</t>
        </is>
      </c>
      <c r="F321" s="12" t="inlineStr">
        <is>
          <t>REVENUE</t>
        </is>
      </c>
      <c r="G321" s="12" t="inlineStr">
        <is>
          <t>Revenue</t>
        </is>
      </c>
      <c r="H321" s="12" t="inlineStr">
        <is>
          <t>REVENUE_SVC</t>
        </is>
      </c>
      <c r="I321" s="12" t="inlineStr">
        <is>
          <t>Service Revenue</t>
        </is>
      </c>
      <c r="J321" s="13" t="n">
        <v>5665</v>
      </c>
    </row>
    <row r="322">
      <c r="A322" s="40" t="n">
        <v>46272</v>
      </c>
      <c r="B322" s="12" t="inlineStr">
        <is>
          <t>J41318</t>
        </is>
      </c>
      <c r="C322" s="12" t="n">
        <v>9</v>
      </c>
      <c r="D322" s="12" t="inlineStr">
        <is>
          <t>SERVICE</t>
        </is>
      </c>
      <c r="E322" s="12" t="inlineStr">
        <is>
          <t>Service and Support</t>
        </is>
      </c>
      <c r="F322" s="12" t="inlineStr">
        <is>
          <t>REVENUE</t>
        </is>
      </c>
      <c r="G322" s="12" t="inlineStr">
        <is>
          <t>Revenue</t>
        </is>
      </c>
      <c r="H322" s="12" t="inlineStr">
        <is>
          <t>REVENUE_SVC</t>
        </is>
      </c>
      <c r="I322" s="12" t="inlineStr">
        <is>
          <t>Service Revenue</t>
        </is>
      </c>
      <c r="J322" s="13" t="n">
        <v>87359</v>
      </c>
    </row>
    <row r="323">
      <c r="A323" s="40" t="n">
        <v>46277</v>
      </c>
      <c r="B323" s="12" t="inlineStr">
        <is>
          <t>J41319</t>
        </is>
      </c>
      <c r="C323" s="12" t="n">
        <v>9</v>
      </c>
      <c r="D323" s="12" t="inlineStr">
        <is>
          <t>SALES</t>
        </is>
      </c>
      <c r="E323" s="12" t="inlineStr">
        <is>
          <t>Direct Sales</t>
        </is>
      </c>
      <c r="F323" s="12" t="inlineStr">
        <is>
          <t>COGS</t>
        </is>
      </c>
      <c r="G323" s="12" t="inlineStr">
        <is>
          <t>Cost of Sales</t>
        </is>
      </c>
      <c r="H323" s="12" t="inlineStr">
        <is>
          <t>COGS</t>
        </is>
      </c>
      <c r="I323" s="12" t="inlineStr">
        <is>
          <t>Cost of Goods Sold</t>
        </is>
      </c>
      <c r="J323" s="13" t="n">
        <v>459802</v>
      </c>
    </row>
    <row r="324">
      <c r="A324" s="40" t="n">
        <v>46286</v>
      </c>
      <c r="B324" s="12" t="inlineStr">
        <is>
          <t>J41320</t>
        </is>
      </c>
      <c r="C324" s="12" t="n">
        <v>9</v>
      </c>
      <c r="D324" s="12" t="inlineStr">
        <is>
          <t>CHANNEL</t>
        </is>
      </c>
      <c r="E324" s="12" t="inlineStr">
        <is>
          <t>Distributor Channel</t>
        </is>
      </c>
      <c r="F324" s="12" t="inlineStr">
        <is>
          <t>COGS</t>
        </is>
      </c>
      <c r="G324" s="12" t="inlineStr">
        <is>
          <t>Cost of Sales</t>
        </is>
      </c>
      <c r="H324" s="12" t="inlineStr">
        <is>
          <t>COGS</t>
        </is>
      </c>
      <c r="I324" s="12" t="inlineStr">
        <is>
          <t>Cost of Goods Sold</t>
        </is>
      </c>
      <c r="J324" s="13" t="n">
        <v>249717</v>
      </c>
    </row>
    <row r="325">
      <c r="A325" s="40" t="n">
        <v>46291</v>
      </c>
      <c r="B325" s="12" t="inlineStr">
        <is>
          <t>J41321</t>
        </is>
      </c>
      <c r="C325" s="12" t="n">
        <v>9</v>
      </c>
      <c r="D325" s="12" t="inlineStr">
        <is>
          <t>SERVICE</t>
        </is>
      </c>
      <c r="E325" s="12" t="inlineStr">
        <is>
          <t>Service and Support</t>
        </is>
      </c>
      <c r="F325" s="12" t="inlineStr">
        <is>
          <t>COGS</t>
        </is>
      </c>
      <c r="G325" s="12" t="inlineStr">
        <is>
          <t>Cost of Sales</t>
        </is>
      </c>
      <c r="H325" s="12" t="inlineStr">
        <is>
          <t>COGS</t>
        </is>
      </c>
      <c r="I325" s="12" t="inlineStr">
        <is>
          <t>Cost of Goods Sold</t>
        </is>
      </c>
      <c r="J325" s="13" t="n">
        <v>118840</v>
      </c>
    </row>
    <row r="326">
      <c r="A326" s="40" t="n">
        <v>46285</v>
      </c>
      <c r="B326" s="12" t="inlineStr">
        <is>
          <t>J41322</t>
        </is>
      </c>
      <c r="C326" s="12" t="n">
        <v>9</v>
      </c>
      <c r="D326" s="12" t="inlineStr">
        <is>
          <t>SALES</t>
        </is>
      </c>
      <c r="E326" s="12" t="inlineStr">
        <is>
          <t>Direct Sales</t>
        </is>
      </c>
      <c r="F326" s="12" t="inlineStr">
        <is>
          <t>OPEX</t>
        </is>
      </c>
      <c r="G326" s="12" t="inlineStr">
        <is>
          <t>Operating Expenses</t>
        </is>
      </c>
      <c r="H326" s="12" t="inlineStr">
        <is>
          <t>SALARY</t>
        </is>
      </c>
      <c r="I326" s="12" t="inlineStr">
        <is>
          <t>Payroll</t>
        </is>
      </c>
      <c r="J326" s="13" t="n">
        <v>98993</v>
      </c>
    </row>
    <row r="327">
      <c r="A327" s="40" t="n">
        <v>46278</v>
      </c>
      <c r="B327" s="12" t="inlineStr">
        <is>
          <t>J41323</t>
        </is>
      </c>
      <c r="C327" s="12" t="n">
        <v>9</v>
      </c>
      <c r="D327" s="12" t="inlineStr">
        <is>
          <t>CHANNEL</t>
        </is>
      </c>
      <c r="E327" s="12" t="inlineStr">
        <is>
          <t>Distributor Channel</t>
        </is>
      </c>
      <c r="F327" s="12" t="inlineStr">
        <is>
          <t>OPEX</t>
        </is>
      </c>
      <c r="G327" s="12" t="inlineStr">
        <is>
          <t>Operating Expenses</t>
        </is>
      </c>
      <c r="H327" s="12" t="inlineStr">
        <is>
          <t>SALARY</t>
        </is>
      </c>
      <c r="I327" s="12" t="inlineStr">
        <is>
          <t>Payroll</t>
        </is>
      </c>
      <c r="J327" s="13" t="n">
        <v>57760</v>
      </c>
    </row>
    <row r="328">
      <c r="A328" s="40" t="n">
        <v>46287</v>
      </c>
      <c r="B328" s="12" t="inlineStr">
        <is>
          <t>J41324</t>
        </is>
      </c>
      <c r="C328" s="12" t="n">
        <v>9</v>
      </c>
      <c r="D328" s="12" t="inlineStr">
        <is>
          <t>SERVICE</t>
        </is>
      </c>
      <c r="E328" s="12" t="inlineStr">
        <is>
          <t>Service and Support</t>
        </is>
      </c>
      <c r="F328" s="12" t="inlineStr">
        <is>
          <t>OPEX</t>
        </is>
      </c>
      <c r="G328" s="12" t="inlineStr">
        <is>
          <t>Operating Expenses</t>
        </is>
      </c>
      <c r="H328" s="12" t="inlineStr">
        <is>
          <t>SALARY</t>
        </is>
      </c>
      <c r="I328" s="12" t="inlineStr">
        <is>
          <t>Payroll</t>
        </is>
      </c>
      <c r="J328" s="13" t="n">
        <v>27042</v>
      </c>
    </row>
    <row r="329">
      <c r="A329" s="40" t="n">
        <v>46280</v>
      </c>
      <c r="B329" s="12" t="inlineStr">
        <is>
          <t>J41325</t>
        </is>
      </c>
      <c r="C329" s="12" t="n">
        <v>9</v>
      </c>
      <c r="D329" s="12" t="inlineStr">
        <is>
          <t>SALES</t>
        </is>
      </c>
      <c r="E329" s="12" t="inlineStr">
        <is>
          <t>Direct Sales</t>
        </is>
      </c>
      <c r="F329" s="12" t="inlineStr">
        <is>
          <t>OPEX</t>
        </is>
      </c>
      <c r="G329" s="12" t="inlineStr">
        <is>
          <t>Operating Expenses</t>
        </is>
      </c>
      <c r="H329" s="12" t="inlineStr">
        <is>
          <t>RENT</t>
        </is>
      </c>
      <c r="I329" s="12" t="inlineStr">
        <is>
          <t>Rent and Facilities</t>
        </is>
      </c>
      <c r="J329" s="13" t="n">
        <v>12028</v>
      </c>
    </row>
    <row r="330">
      <c r="A330" s="40" t="n">
        <v>46271</v>
      </c>
      <c r="B330" s="12" t="inlineStr">
        <is>
          <t>J41326</t>
        </is>
      </c>
      <c r="C330" s="12" t="n">
        <v>9</v>
      </c>
      <c r="D330" s="12" t="inlineStr">
        <is>
          <t>CHANNEL</t>
        </is>
      </c>
      <c r="E330" s="12" t="inlineStr">
        <is>
          <t>Distributor Channel</t>
        </is>
      </c>
      <c r="F330" s="12" t="inlineStr">
        <is>
          <t>OPEX</t>
        </is>
      </c>
      <c r="G330" s="12" t="inlineStr">
        <is>
          <t>Operating Expenses</t>
        </is>
      </c>
      <c r="H330" s="12" t="inlineStr">
        <is>
          <t>RENT</t>
        </is>
      </c>
      <c r="I330" s="12" t="inlineStr">
        <is>
          <t>Rent and Facilities</t>
        </is>
      </c>
      <c r="J330" s="13" t="n">
        <v>13082</v>
      </c>
    </row>
    <row r="331">
      <c r="A331" s="40" t="n">
        <v>46277</v>
      </c>
      <c r="B331" s="12" t="inlineStr">
        <is>
          <t>J41327</t>
        </is>
      </c>
      <c r="C331" s="12" t="n">
        <v>9</v>
      </c>
      <c r="D331" s="12" t="inlineStr">
        <is>
          <t>SERVICE</t>
        </is>
      </c>
      <c r="E331" s="12" t="inlineStr">
        <is>
          <t>Service and Support</t>
        </is>
      </c>
      <c r="F331" s="12" t="inlineStr">
        <is>
          <t>OPEX</t>
        </is>
      </c>
      <c r="G331" s="12" t="inlineStr">
        <is>
          <t>Operating Expenses</t>
        </is>
      </c>
      <c r="H331" s="12" t="inlineStr">
        <is>
          <t>RENT</t>
        </is>
      </c>
      <c r="I331" s="12" t="inlineStr">
        <is>
          <t>Rent and Facilities</t>
        </is>
      </c>
      <c r="J331" s="13" t="n">
        <v>12207</v>
      </c>
    </row>
    <row r="332">
      <c r="A332" s="40" t="n">
        <v>46267</v>
      </c>
      <c r="B332" s="12" t="inlineStr">
        <is>
          <t>J41328</t>
        </is>
      </c>
      <c r="C332" s="12" t="n">
        <v>9</v>
      </c>
      <c r="D332" s="12" t="inlineStr">
        <is>
          <t>SALES</t>
        </is>
      </c>
      <c r="E332" s="12" t="inlineStr">
        <is>
          <t>Direct Sales</t>
        </is>
      </c>
      <c r="F332" s="12" t="inlineStr">
        <is>
          <t>OPEX</t>
        </is>
      </c>
      <c r="G332" s="12" t="inlineStr">
        <is>
          <t>Operating Expenses</t>
        </is>
      </c>
      <c r="H332" s="12" t="inlineStr">
        <is>
          <t>VEHICLE</t>
        </is>
      </c>
      <c r="I332" s="12" t="inlineStr">
        <is>
          <t>Vehicle</t>
        </is>
      </c>
      <c r="J332" s="13" t="n">
        <v>14327</v>
      </c>
    </row>
    <row r="333">
      <c r="A333" s="40" t="n">
        <v>46285</v>
      </c>
      <c r="B333" s="12" t="inlineStr">
        <is>
          <t>J41329</t>
        </is>
      </c>
      <c r="C333" s="12" t="n">
        <v>9</v>
      </c>
      <c r="D333" s="12" t="inlineStr">
        <is>
          <t>CHANNEL</t>
        </is>
      </c>
      <c r="E333" s="12" t="inlineStr">
        <is>
          <t>Distributor Channel</t>
        </is>
      </c>
      <c r="F333" s="12" t="inlineStr">
        <is>
          <t>OPEX</t>
        </is>
      </c>
      <c r="G333" s="12" t="inlineStr">
        <is>
          <t>Operating Expenses</t>
        </is>
      </c>
      <c r="H333" s="12" t="inlineStr">
        <is>
          <t>VEHICLE</t>
        </is>
      </c>
      <c r="I333" s="12" t="inlineStr">
        <is>
          <t>Vehicle</t>
        </is>
      </c>
      <c r="J333" s="13" t="n">
        <v>6839</v>
      </c>
    </row>
    <row r="334">
      <c r="A334" s="40" t="n">
        <v>46270</v>
      </c>
      <c r="B334" s="12" t="inlineStr">
        <is>
          <t>J41330</t>
        </is>
      </c>
      <c r="C334" s="12" t="n">
        <v>9</v>
      </c>
      <c r="D334" s="12" t="inlineStr">
        <is>
          <t>SERVICE</t>
        </is>
      </c>
      <c r="E334" s="12" t="inlineStr">
        <is>
          <t>Service and Support</t>
        </is>
      </c>
      <c r="F334" s="12" t="inlineStr">
        <is>
          <t>OPEX</t>
        </is>
      </c>
      <c r="G334" s="12" t="inlineStr">
        <is>
          <t>Operating Expenses</t>
        </is>
      </c>
      <c r="H334" s="12" t="inlineStr">
        <is>
          <t>VEHICLE</t>
        </is>
      </c>
      <c r="I334" s="12" t="inlineStr">
        <is>
          <t>Vehicle</t>
        </is>
      </c>
      <c r="J334" s="13" t="n">
        <v>3382</v>
      </c>
    </row>
    <row r="335">
      <c r="A335" s="40" t="n">
        <v>46273</v>
      </c>
      <c r="B335" s="12" t="inlineStr">
        <is>
          <t>J41331</t>
        </is>
      </c>
      <c r="C335" s="12" t="n">
        <v>9</v>
      </c>
      <c r="D335" s="12" t="inlineStr">
        <is>
          <t>SALES</t>
        </is>
      </c>
      <c r="E335" s="12" t="inlineStr">
        <is>
          <t>Direct Sales</t>
        </is>
      </c>
      <c r="F335" s="12" t="inlineStr">
        <is>
          <t>OPEX</t>
        </is>
      </c>
      <c r="G335" s="12" t="inlineStr">
        <is>
          <t>Operating Expenses</t>
        </is>
      </c>
      <c r="H335" s="12" t="inlineStr">
        <is>
          <t>MARKETING</t>
        </is>
      </c>
      <c r="I335" s="12" t="inlineStr">
        <is>
          <t>Marketing</t>
        </is>
      </c>
      <c r="J335" s="13" t="n">
        <v>20336</v>
      </c>
    </row>
    <row r="336">
      <c r="A336" s="40" t="n">
        <v>46281</v>
      </c>
      <c r="B336" s="12" t="inlineStr">
        <is>
          <t>J41332</t>
        </is>
      </c>
      <c r="C336" s="12" t="n">
        <v>9</v>
      </c>
      <c r="D336" s="12" t="inlineStr">
        <is>
          <t>CHANNEL</t>
        </is>
      </c>
      <c r="E336" s="12" t="inlineStr">
        <is>
          <t>Distributor Channel</t>
        </is>
      </c>
      <c r="F336" s="12" t="inlineStr">
        <is>
          <t>OPEX</t>
        </is>
      </c>
      <c r="G336" s="12" t="inlineStr">
        <is>
          <t>Operating Expenses</t>
        </is>
      </c>
      <c r="H336" s="12" t="inlineStr">
        <is>
          <t>MARKETING</t>
        </is>
      </c>
      <c r="I336" s="12" t="inlineStr">
        <is>
          <t>Marketing</t>
        </is>
      </c>
      <c r="J336" s="13" t="n">
        <v>13274</v>
      </c>
    </row>
    <row r="337">
      <c r="A337" s="40" t="n">
        <v>46277</v>
      </c>
      <c r="B337" s="12" t="inlineStr">
        <is>
          <t>J41333</t>
        </is>
      </c>
      <c r="C337" s="12" t="n">
        <v>9</v>
      </c>
      <c r="D337" s="12" t="inlineStr">
        <is>
          <t>SERVICE</t>
        </is>
      </c>
      <c r="E337" s="12" t="inlineStr">
        <is>
          <t>Service and Support</t>
        </is>
      </c>
      <c r="F337" s="12" t="inlineStr">
        <is>
          <t>OPEX</t>
        </is>
      </c>
      <c r="G337" s="12" t="inlineStr">
        <is>
          <t>Operating Expenses</t>
        </is>
      </c>
      <c r="H337" s="12" t="inlineStr">
        <is>
          <t>MARKETING</t>
        </is>
      </c>
      <c r="I337" s="12" t="inlineStr">
        <is>
          <t>Marketing</t>
        </is>
      </c>
      <c r="J337" s="13" t="n">
        <v>6685</v>
      </c>
    </row>
    <row r="338">
      <c r="A338" s="40" t="n">
        <v>46289</v>
      </c>
      <c r="B338" s="12" t="inlineStr">
        <is>
          <t>J41334</t>
        </is>
      </c>
      <c r="C338" s="12" t="n">
        <v>9</v>
      </c>
      <c r="D338" s="12" t="inlineStr">
        <is>
          <t>SALES</t>
        </is>
      </c>
      <c r="E338" s="12" t="inlineStr">
        <is>
          <t>Direct Sales</t>
        </is>
      </c>
      <c r="F338" s="12" t="inlineStr">
        <is>
          <t>OPEX</t>
        </is>
      </c>
      <c r="G338" s="12" t="inlineStr">
        <is>
          <t>Operating Expenses</t>
        </is>
      </c>
      <c r="H338" s="12" t="inlineStr">
        <is>
          <t>ENTERTAIN</t>
        </is>
      </c>
      <c r="I338" s="12" t="inlineStr">
        <is>
          <t>Entertainment</t>
        </is>
      </c>
      <c r="J338" s="13" t="n">
        <v>3192</v>
      </c>
    </row>
    <row r="339">
      <c r="A339" s="40" t="n">
        <v>46289</v>
      </c>
      <c r="B339" s="12" t="inlineStr">
        <is>
          <t>J41335</t>
        </is>
      </c>
      <c r="C339" s="12" t="n">
        <v>9</v>
      </c>
      <c r="D339" s="12" t="inlineStr">
        <is>
          <t>CHANNEL</t>
        </is>
      </c>
      <c r="E339" s="12" t="inlineStr">
        <is>
          <t>Distributor Channel</t>
        </is>
      </c>
      <c r="F339" s="12" t="inlineStr">
        <is>
          <t>OPEX</t>
        </is>
      </c>
      <c r="G339" s="12" t="inlineStr">
        <is>
          <t>Operating Expenses</t>
        </is>
      </c>
      <c r="H339" s="12" t="inlineStr">
        <is>
          <t>ENTERTAIN</t>
        </is>
      </c>
      <c r="I339" s="12" t="inlineStr">
        <is>
          <t>Entertainment</t>
        </is>
      </c>
      <c r="J339" s="13" t="n">
        <v>1526</v>
      </c>
    </row>
    <row r="340">
      <c r="A340" s="40" t="n">
        <v>46290</v>
      </c>
      <c r="B340" s="12" t="inlineStr">
        <is>
          <t>J41336</t>
        </is>
      </c>
      <c r="C340" s="12" t="n">
        <v>9</v>
      </c>
      <c r="D340" s="12" t="inlineStr">
        <is>
          <t>SERVICE</t>
        </is>
      </c>
      <c r="E340" s="12" t="inlineStr">
        <is>
          <t>Service and Support</t>
        </is>
      </c>
      <c r="F340" s="12" t="inlineStr">
        <is>
          <t>OPEX</t>
        </is>
      </c>
      <c r="G340" s="12" t="inlineStr">
        <is>
          <t>Operating Expenses</t>
        </is>
      </c>
      <c r="H340" s="12" t="inlineStr">
        <is>
          <t>ENTERTAIN</t>
        </is>
      </c>
      <c r="I340" s="12" t="inlineStr">
        <is>
          <t>Entertainment</t>
        </is>
      </c>
      <c r="J340" s="13" t="n">
        <v>839</v>
      </c>
    </row>
    <row r="341">
      <c r="A341" s="40" t="n">
        <v>46282</v>
      </c>
      <c r="B341" s="12" t="inlineStr">
        <is>
          <t>J41337</t>
        </is>
      </c>
      <c r="C341" s="12" t="n">
        <v>9</v>
      </c>
      <c r="D341" s="12" t="inlineStr">
        <is>
          <t>SALES</t>
        </is>
      </c>
      <c r="E341" s="12" t="inlineStr">
        <is>
          <t>Direct Sales</t>
        </is>
      </c>
      <c r="F341" s="12" t="inlineStr">
        <is>
          <t>OPEX</t>
        </is>
      </c>
      <c r="G341" s="12" t="inlineStr">
        <is>
          <t>Operating Expenses</t>
        </is>
      </c>
      <c r="H341" s="12" t="inlineStr">
        <is>
          <t>OFFICE</t>
        </is>
      </c>
      <c r="I341" s="12" t="inlineStr">
        <is>
          <t>Office</t>
        </is>
      </c>
      <c r="J341" s="13" t="n">
        <v>5765</v>
      </c>
    </row>
    <row r="342">
      <c r="A342" s="40" t="n">
        <v>46280</v>
      </c>
      <c r="B342" s="12" t="inlineStr">
        <is>
          <t>J41338</t>
        </is>
      </c>
      <c r="C342" s="12" t="n">
        <v>9</v>
      </c>
      <c r="D342" s="12" t="inlineStr">
        <is>
          <t>CHANNEL</t>
        </is>
      </c>
      <c r="E342" s="12" t="inlineStr">
        <is>
          <t>Distributor Channel</t>
        </is>
      </c>
      <c r="F342" s="12" t="inlineStr">
        <is>
          <t>OPEX</t>
        </is>
      </c>
      <c r="G342" s="12" t="inlineStr">
        <is>
          <t>Operating Expenses</t>
        </is>
      </c>
      <c r="H342" s="12" t="inlineStr">
        <is>
          <t>OFFICE</t>
        </is>
      </c>
      <c r="I342" s="12" t="inlineStr">
        <is>
          <t>Office</t>
        </is>
      </c>
      <c r="J342" s="13" t="n">
        <v>3264</v>
      </c>
    </row>
    <row r="343">
      <c r="A343" s="40" t="n">
        <v>46280</v>
      </c>
      <c r="B343" s="12" t="inlineStr">
        <is>
          <t>J41339</t>
        </is>
      </c>
      <c r="C343" s="12" t="n">
        <v>9</v>
      </c>
      <c r="D343" s="12" t="inlineStr">
        <is>
          <t>SERVICE</t>
        </is>
      </c>
      <c r="E343" s="12" t="inlineStr">
        <is>
          <t>Service and Support</t>
        </is>
      </c>
      <c r="F343" s="12" t="inlineStr">
        <is>
          <t>OPEX</t>
        </is>
      </c>
      <c r="G343" s="12" t="inlineStr">
        <is>
          <t>Operating Expenses</t>
        </is>
      </c>
      <c r="H343" s="12" t="inlineStr">
        <is>
          <t>OFFICE</t>
        </is>
      </c>
      <c r="I343" s="12" t="inlineStr">
        <is>
          <t>Office</t>
        </is>
      </c>
      <c r="J343" s="13" t="n">
        <v>1812</v>
      </c>
    </row>
    <row r="344">
      <c r="A344" s="40" t="n">
        <v>46278</v>
      </c>
      <c r="B344" s="12" t="inlineStr">
        <is>
          <t>J41340</t>
        </is>
      </c>
      <c r="C344" s="12" t="n">
        <v>9</v>
      </c>
      <c r="D344" s="12" t="inlineStr">
        <is>
          <t>SALES</t>
        </is>
      </c>
      <c r="E344" s="12" t="inlineStr">
        <is>
          <t>Direct Sales</t>
        </is>
      </c>
      <c r="F344" s="12" t="inlineStr">
        <is>
          <t>OPEX</t>
        </is>
      </c>
      <c r="G344" s="12" t="inlineStr">
        <is>
          <t>Operating Expenses</t>
        </is>
      </c>
      <c r="H344" s="12" t="inlineStr">
        <is>
          <t>MERCHANT</t>
        </is>
      </c>
      <c r="I344" s="12" t="inlineStr">
        <is>
          <t>Merchant Fees</t>
        </is>
      </c>
      <c r="J344" s="13" t="n">
        <v>7063</v>
      </c>
    </row>
    <row r="345">
      <c r="A345" s="40" t="n">
        <v>46276</v>
      </c>
      <c r="B345" s="12" t="inlineStr">
        <is>
          <t>J41341</t>
        </is>
      </c>
      <c r="C345" s="12" t="n">
        <v>9</v>
      </c>
      <c r="D345" s="12" t="inlineStr">
        <is>
          <t>CHANNEL</t>
        </is>
      </c>
      <c r="E345" s="12" t="inlineStr">
        <is>
          <t>Distributor Channel</t>
        </is>
      </c>
      <c r="F345" s="12" t="inlineStr">
        <is>
          <t>OPEX</t>
        </is>
      </c>
      <c r="G345" s="12" t="inlineStr">
        <is>
          <t>Operating Expenses</t>
        </is>
      </c>
      <c r="H345" s="12" t="inlineStr">
        <is>
          <t>MERCHANT</t>
        </is>
      </c>
      <c r="I345" s="12" t="inlineStr">
        <is>
          <t>Merchant Fees</t>
        </is>
      </c>
      <c r="J345" s="13" t="n">
        <v>3821</v>
      </c>
    </row>
    <row r="346">
      <c r="A346" s="40" t="n">
        <v>46272</v>
      </c>
      <c r="B346" s="12" t="inlineStr">
        <is>
          <t>J41342</t>
        </is>
      </c>
      <c r="C346" s="12" t="n">
        <v>9</v>
      </c>
      <c r="D346" s="12" t="inlineStr">
        <is>
          <t>SERVICE</t>
        </is>
      </c>
      <c r="E346" s="12" t="inlineStr">
        <is>
          <t>Service and Support</t>
        </is>
      </c>
      <c r="F346" s="12" t="inlineStr">
        <is>
          <t>OPEX</t>
        </is>
      </c>
      <c r="G346" s="12" t="inlineStr">
        <is>
          <t>Operating Expenses</t>
        </is>
      </c>
      <c r="H346" s="12" t="inlineStr">
        <is>
          <t>MERCHANT</t>
        </is>
      </c>
      <c r="I346" s="12" t="inlineStr">
        <is>
          <t>Merchant Fees</t>
        </is>
      </c>
      <c r="J346" s="13" t="n">
        <v>1990</v>
      </c>
    </row>
    <row r="347">
      <c r="A347" s="40" t="n">
        <v>46290</v>
      </c>
      <c r="B347" s="12" t="inlineStr">
        <is>
          <t>J41343</t>
        </is>
      </c>
      <c r="C347" s="12" t="n">
        <v>9</v>
      </c>
      <c r="D347" s="12" t="inlineStr">
        <is>
          <t>SALES</t>
        </is>
      </c>
      <c r="E347" s="12" t="inlineStr">
        <is>
          <t>Direct Sales</t>
        </is>
      </c>
      <c r="F347" s="12" t="inlineStr">
        <is>
          <t>OPEX</t>
        </is>
      </c>
      <c r="G347" s="12" t="inlineStr">
        <is>
          <t>Operating Expenses</t>
        </is>
      </c>
      <c r="H347" s="12" t="inlineStr">
        <is>
          <t>PROFSVC</t>
        </is>
      </c>
      <c r="I347" s="12" t="inlineStr">
        <is>
          <t>Professional Fees</t>
        </is>
      </c>
      <c r="J347" s="13" t="n">
        <v>8514</v>
      </c>
    </row>
    <row r="348">
      <c r="A348" s="40" t="n">
        <v>46292</v>
      </c>
      <c r="B348" s="12" t="inlineStr">
        <is>
          <t>J41344</t>
        </is>
      </c>
      <c r="C348" s="12" t="n">
        <v>9</v>
      </c>
      <c r="D348" s="12" t="inlineStr">
        <is>
          <t>CHANNEL</t>
        </is>
      </c>
      <c r="E348" s="12" t="inlineStr">
        <is>
          <t>Distributor Channel</t>
        </is>
      </c>
      <c r="F348" s="12" t="inlineStr">
        <is>
          <t>OPEX</t>
        </is>
      </c>
      <c r="G348" s="12" t="inlineStr">
        <is>
          <t>Operating Expenses</t>
        </is>
      </c>
      <c r="H348" s="12" t="inlineStr">
        <is>
          <t>PROFSVC</t>
        </is>
      </c>
      <c r="I348" s="12" t="inlineStr">
        <is>
          <t>Professional Fees</t>
        </is>
      </c>
      <c r="J348" s="13" t="n">
        <v>4317</v>
      </c>
    </row>
    <row r="349">
      <c r="A349" s="40" t="n">
        <v>46283</v>
      </c>
      <c r="B349" s="12" t="inlineStr">
        <is>
          <t>J41345</t>
        </is>
      </c>
      <c r="C349" s="12" t="n">
        <v>9</v>
      </c>
      <c r="D349" s="12" t="inlineStr">
        <is>
          <t>SERVICE</t>
        </is>
      </c>
      <c r="E349" s="12" t="inlineStr">
        <is>
          <t>Service and Support</t>
        </is>
      </c>
      <c r="F349" s="12" t="inlineStr">
        <is>
          <t>OPEX</t>
        </is>
      </c>
      <c r="G349" s="12" t="inlineStr">
        <is>
          <t>Operating Expenses</t>
        </is>
      </c>
      <c r="H349" s="12" t="inlineStr">
        <is>
          <t>PROFSVC</t>
        </is>
      </c>
      <c r="I349" s="12" t="inlineStr">
        <is>
          <t>Professional Fees</t>
        </is>
      </c>
      <c r="J349" s="13" t="n">
        <v>2067</v>
      </c>
    </row>
    <row r="350">
      <c r="A350" s="40" t="n">
        <v>46273</v>
      </c>
      <c r="B350" s="12" t="inlineStr">
        <is>
          <t>J41346</t>
        </is>
      </c>
      <c r="C350" s="12" t="n">
        <v>9</v>
      </c>
      <c r="D350" s="12" t="inlineStr">
        <is>
          <t>SALES</t>
        </is>
      </c>
      <c r="E350" s="12" t="inlineStr">
        <is>
          <t>Direct Sales</t>
        </is>
      </c>
      <c r="F350" s="12" t="inlineStr">
        <is>
          <t>OPEX</t>
        </is>
      </c>
      <c r="G350" s="12" t="inlineStr">
        <is>
          <t>Operating Expenses</t>
        </is>
      </c>
      <c r="H350" s="12" t="inlineStr">
        <is>
          <t>DEPREC</t>
        </is>
      </c>
      <c r="I350" s="12" t="inlineStr">
        <is>
          <t>Depreciation</t>
        </is>
      </c>
      <c r="J350" s="13" t="n">
        <v>5141</v>
      </c>
    </row>
    <row r="351">
      <c r="A351" s="40" t="n">
        <v>46290</v>
      </c>
      <c r="B351" s="12" t="inlineStr">
        <is>
          <t>J41347</t>
        </is>
      </c>
      <c r="C351" s="12" t="n">
        <v>9</v>
      </c>
      <c r="D351" s="12" t="inlineStr">
        <is>
          <t>CHANNEL</t>
        </is>
      </c>
      <c r="E351" s="12" t="inlineStr">
        <is>
          <t>Distributor Channel</t>
        </is>
      </c>
      <c r="F351" s="12" t="inlineStr">
        <is>
          <t>OPEX</t>
        </is>
      </c>
      <c r="G351" s="12" t="inlineStr">
        <is>
          <t>Operating Expenses</t>
        </is>
      </c>
      <c r="H351" s="12" t="inlineStr">
        <is>
          <t>DEPREC</t>
        </is>
      </c>
      <c r="I351" s="12" t="inlineStr">
        <is>
          <t>Depreciation</t>
        </is>
      </c>
      <c r="J351" s="13" t="n">
        <v>5385</v>
      </c>
    </row>
    <row r="352">
      <c r="A352" s="40" t="n">
        <v>46286</v>
      </c>
      <c r="B352" s="12" t="inlineStr">
        <is>
          <t>J41348</t>
        </is>
      </c>
      <c r="C352" s="12" t="n">
        <v>9</v>
      </c>
      <c r="D352" s="12" t="inlineStr">
        <is>
          <t>SERVICE</t>
        </is>
      </c>
      <c r="E352" s="12" t="inlineStr">
        <is>
          <t>Service and Support</t>
        </is>
      </c>
      <c r="F352" s="12" t="inlineStr">
        <is>
          <t>OPEX</t>
        </is>
      </c>
      <c r="G352" s="12" t="inlineStr">
        <is>
          <t>Operating Expenses</t>
        </is>
      </c>
      <c r="H352" s="12" t="inlineStr">
        <is>
          <t>DEPREC</t>
        </is>
      </c>
      <c r="I352" s="12" t="inlineStr">
        <is>
          <t>Depreciation</t>
        </is>
      </c>
      <c r="J352" s="13" t="n">
        <v>5848</v>
      </c>
    </row>
    <row r="353">
      <c r="A353" s="40" t="n">
        <v>46292</v>
      </c>
      <c r="B353" s="12" t="inlineStr">
        <is>
          <t>J41349</t>
        </is>
      </c>
      <c r="C353" s="12" t="n">
        <v>9</v>
      </c>
      <c r="D353" s="12" t="inlineStr">
        <is>
          <t>SALES</t>
        </is>
      </c>
      <c r="E353" s="12" t="inlineStr">
        <is>
          <t>Direct Sales</t>
        </is>
      </c>
      <c r="F353" s="12" t="inlineStr">
        <is>
          <t>OPEX</t>
        </is>
      </c>
      <c r="G353" s="12" t="inlineStr">
        <is>
          <t>Operating Expenses</t>
        </is>
      </c>
      <c r="H353" s="12" t="inlineStr">
        <is>
          <t>FINANCE</t>
        </is>
      </c>
      <c r="I353" s="12" t="inlineStr">
        <is>
          <t>Finance Costs</t>
        </is>
      </c>
      <c r="J353" s="13" t="n">
        <v>2961</v>
      </c>
    </row>
    <row r="354">
      <c r="A354" s="40" t="n">
        <v>46283</v>
      </c>
      <c r="B354" s="12" t="inlineStr">
        <is>
          <t>J41350</t>
        </is>
      </c>
      <c r="C354" s="12" t="n">
        <v>9</v>
      </c>
      <c r="D354" s="12" t="inlineStr">
        <is>
          <t>CHANNEL</t>
        </is>
      </c>
      <c r="E354" s="12" t="inlineStr">
        <is>
          <t>Distributor Channel</t>
        </is>
      </c>
      <c r="F354" s="12" t="inlineStr">
        <is>
          <t>OPEX</t>
        </is>
      </c>
      <c r="G354" s="12" t="inlineStr">
        <is>
          <t>Operating Expenses</t>
        </is>
      </c>
      <c r="H354" s="12" t="inlineStr">
        <is>
          <t>FINANCE</t>
        </is>
      </c>
      <c r="I354" s="12" t="inlineStr">
        <is>
          <t>Finance Costs</t>
        </is>
      </c>
      <c r="J354" s="13" t="n">
        <v>3168</v>
      </c>
    </row>
    <row r="355">
      <c r="A355" s="40" t="n">
        <v>46283</v>
      </c>
      <c r="B355" s="12" t="inlineStr">
        <is>
          <t>J41351</t>
        </is>
      </c>
      <c r="C355" s="12" t="n">
        <v>9</v>
      </c>
      <c r="D355" s="12" t="inlineStr">
        <is>
          <t>SERVICE</t>
        </is>
      </c>
      <c r="E355" s="12" t="inlineStr">
        <is>
          <t>Service and Support</t>
        </is>
      </c>
      <c r="F355" s="12" t="inlineStr">
        <is>
          <t>OPEX</t>
        </is>
      </c>
      <c r="G355" s="12" t="inlineStr">
        <is>
          <t>Operating Expenses</t>
        </is>
      </c>
      <c r="H355" s="12" t="inlineStr">
        <is>
          <t>FINANCE</t>
        </is>
      </c>
      <c r="I355" s="12" t="inlineStr">
        <is>
          <t>Finance Costs</t>
        </is>
      </c>
      <c r="J355" s="13" t="n">
        <v>2734</v>
      </c>
    </row>
    <row r="356">
      <c r="A356" s="40" t="n">
        <v>46313</v>
      </c>
      <c r="B356" s="12" t="inlineStr">
        <is>
          <t>J41352</t>
        </is>
      </c>
      <c r="C356" s="12" t="n">
        <v>10</v>
      </c>
      <c r="D356" s="12" t="inlineStr">
        <is>
          <t>SALES</t>
        </is>
      </c>
      <c r="E356" s="12" t="inlineStr">
        <is>
          <t>Direct Sales</t>
        </is>
      </c>
      <c r="F356" s="12" t="inlineStr">
        <is>
          <t>REVENUE</t>
        </is>
      </c>
      <c r="G356" s="12" t="inlineStr">
        <is>
          <t>Revenue</t>
        </is>
      </c>
      <c r="H356" s="12" t="inlineStr">
        <is>
          <t>REVENUE_PROD</t>
        </is>
      </c>
      <c r="I356" s="12" t="inlineStr">
        <is>
          <t>Product Revenue</t>
        </is>
      </c>
      <c r="J356" s="13" t="n">
        <v>651549</v>
      </c>
    </row>
    <row r="357">
      <c r="A357" s="40" t="n">
        <v>46299</v>
      </c>
      <c r="B357" s="12" t="inlineStr">
        <is>
          <t>J41353</t>
        </is>
      </c>
      <c r="C357" s="12" t="n">
        <v>10</v>
      </c>
      <c r="D357" s="12" t="inlineStr">
        <is>
          <t>CHANNEL</t>
        </is>
      </c>
      <c r="E357" s="12" t="inlineStr">
        <is>
          <t>Distributor Channel</t>
        </is>
      </c>
      <c r="F357" s="12" t="inlineStr">
        <is>
          <t>REVENUE</t>
        </is>
      </c>
      <c r="G357" s="12" t="inlineStr">
        <is>
          <t>Revenue</t>
        </is>
      </c>
      <c r="H357" s="12" t="inlineStr">
        <is>
          <t>REVENUE_PROD</t>
        </is>
      </c>
      <c r="I357" s="12" t="inlineStr">
        <is>
          <t>Product Revenue</t>
        </is>
      </c>
      <c r="J357" s="13" t="n">
        <v>343213</v>
      </c>
    </row>
    <row r="358">
      <c r="A358" s="40" t="n">
        <v>46297</v>
      </c>
      <c r="B358" s="12" t="inlineStr">
        <is>
          <t>J41354</t>
        </is>
      </c>
      <c r="C358" s="12" t="n">
        <v>10</v>
      </c>
      <c r="D358" s="12" t="inlineStr">
        <is>
          <t>SERVICE</t>
        </is>
      </c>
      <c r="E358" s="12" t="inlineStr">
        <is>
          <t>Service and Support</t>
        </is>
      </c>
      <c r="F358" s="12" t="inlineStr">
        <is>
          <t>REVENUE</t>
        </is>
      </c>
      <c r="G358" s="12" t="inlineStr">
        <is>
          <t>Revenue</t>
        </is>
      </c>
      <c r="H358" s="12" t="inlineStr">
        <is>
          <t>REVENUE_PROD</t>
        </is>
      </c>
      <c r="I358" s="12" t="inlineStr">
        <is>
          <t>Product Revenue</t>
        </is>
      </c>
      <c r="J358" s="13" t="n">
        <v>178045</v>
      </c>
    </row>
    <row r="359">
      <c r="A359" s="40" t="n">
        <v>46309</v>
      </c>
      <c r="B359" s="12" t="inlineStr">
        <is>
          <t>J41355</t>
        </is>
      </c>
      <c r="C359" s="12" t="n">
        <v>10</v>
      </c>
      <c r="D359" s="12" t="inlineStr">
        <is>
          <t>SALES</t>
        </is>
      </c>
      <c r="E359" s="12" t="inlineStr">
        <is>
          <t>Direct Sales</t>
        </is>
      </c>
      <c r="F359" s="12" t="inlineStr">
        <is>
          <t>REVENUE</t>
        </is>
      </c>
      <c r="G359" s="12" t="inlineStr">
        <is>
          <t>Revenue</t>
        </is>
      </c>
      <c r="H359" s="12" t="inlineStr">
        <is>
          <t>REVENUE_SVC</t>
        </is>
      </c>
      <c r="I359" s="12" t="inlineStr">
        <is>
          <t>Service Revenue</t>
        </is>
      </c>
      <c r="J359" s="13" t="n">
        <v>5290</v>
      </c>
    </row>
    <row r="360">
      <c r="A360" s="40" t="n">
        <v>46317</v>
      </c>
      <c r="B360" s="12" t="inlineStr">
        <is>
          <t>J41356</t>
        </is>
      </c>
      <c r="C360" s="12" t="n">
        <v>10</v>
      </c>
      <c r="D360" s="12" t="inlineStr">
        <is>
          <t>CHANNEL</t>
        </is>
      </c>
      <c r="E360" s="12" t="inlineStr">
        <is>
          <t>Distributor Channel</t>
        </is>
      </c>
      <c r="F360" s="12" t="inlineStr">
        <is>
          <t>REVENUE</t>
        </is>
      </c>
      <c r="G360" s="12" t="inlineStr">
        <is>
          <t>Revenue</t>
        </is>
      </c>
      <c r="H360" s="12" t="inlineStr">
        <is>
          <t>REVENUE_SVC</t>
        </is>
      </c>
      <c r="I360" s="12" t="inlineStr">
        <is>
          <t>Service Revenue</t>
        </is>
      </c>
      <c r="J360" s="13" t="n">
        <v>5094</v>
      </c>
    </row>
    <row r="361">
      <c r="A361" s="40" t="n">
        <v>46298</v>
      </c>
      <c r="B361" s="12" t="inlineStr">
        <is>
          <t>J41357</t>
        </is>
      </c>
      <c r="C361" s="12" t="n">
        <v>10</v>
      </c>
      <c r="D361" s="12" t="inlineStr">
        <is>
          <t>SERVICE</t>
        </is>
      </c>
      <c r="E361" s="12" t="inlineStr">
        <is>
          <t>Service and Support</t>
        </is>
      </c>
      <c r="F361" s="12" t="inlineStr">
        <is>
          <t>REVENUE</t>
        </is>
      </c>
      <c r="G361" s="12" t="inlineStr">
        <is>
          <t>Revenue</t>
        </is>
      </c>
      <c r="H361" s="12" t="inlineStr">
        <is>
          <t>REVENUE_SVC</t>
        </is>
      </c>
      <c r="I361" s="12" t="inlineStr">
        <is>
          <t>Service Revenue</t>
        </is>
      </c>
      <c r="J361" s="13" t="n">
        <v>95619</v>
      </c>
    </row>
    <row r="362">
      <c r="A362" s="40" t="n">
        <v>46301</v>
      </c>
      <c r="B362" s="12" t="inlineStr">
        <is>
          <t>J41358</t>
        </is>
      </c>
      <c r="C362" s="12" t="n">
        <v>10</v>
      </c>
      <c r="D362" s="12" t="inlineStr">
        <is>
          <t>SALES</t>
        </is>
      </c>
      <c r="E362" s="12" t="inlineStr">
        <is>
          <t>Direct Sales</t>
        </is>
      </c>
      <c r="F362" s="12" t="inlineStr">
        <is>
          <t>COGS</t>
        </is>
      </c>
      <c r="G362" s="12" t="inlineStr">
        <is>
          <t>Cost of Sales</t>
        </is>
      </c>
      <c r="H362" s="12" t="inlineStr">
        <is>
          <t>COGS</t>
        </is>
      </c>
      <c r="I362" s="12" t="inlineStr">
        <is>
          <t>Cost of Goods Sold</t>
        </is>
      </c>
      <c r="J362" s="13" t="n">
        <v>479349</v>
      </c>
    </row>
    <row r="363">
      <c r="A363" s="40" t="n">
        <v>46308</v>
      </c>
      <c r="B363" s="12" t="inlineStr">
        <is>
          <t>J41359</t>
        </is>
      </c>
      <c r="C363" s="12" t="n">
        <v>10</v>
      </c>
      <c r="D363" s="12" t="inlineStr">
        <is>
          <t>CHANNEL</t>
        </is>
      </c>
      <c r="E363" s="12" t="inlineStr">
        <is>
          <t>Distributor Channel</t>
        </is>
      </c>
      <c r="F363" s="12" t="inlineStr">
        <is>
          <t>COGS</t>
        </is>
      </c>
      <c r="G363" s="12" t="inlineStr">
        <is>
          <t>Cost of Sales</t>
        </is>
      </c>
      <c r="H363" s="12" t="inlineStr">
        <is>
          <t>COGS</t>
        </is>
      </c>
      <c r="I363" s="12" t="inlineStr">
        <is>
          <t>Cost of Goods Sold</t>
        </is>
      </c>
      <c r="J363" s="13" t="n">
        <v>261631</v>
      </c>
    </row>
    <row r="364">
      <c r="A364" s="40" t="n">
        <v>46320</v>
      </c>
      <c r="B364" s="12" t="inlineStr">
        <is>
          <t>J41360</t>
        </is>
      </c>
      <c r="C364" s="12" t="n">
        <v>10</v>
      </c>
      <c r="D364" s="12" t="inlineStr">
        <is>
          <t>SERVICE</t>
        </is>
      </c>
      <c r="E364" s="12" t="inlineStr">
        <is>
          <t>Service and Support</t>
        </is>
      </c>
      <c r="F364" s="12" t="inlineStr">
        <is>
          <t>COGS</t>
        </is>
      </c>
      <c r="G364" s="12" t="inlineStr">
        <is>
          <t>Cost of Sales</t>
        </is>
      </c>
      <c r="H364" s="12" t="inlineStr">
        <is>
          <t>COGS</t>
        </is>
      </c>
      <c r="I364" s="12" t="inlineStr">
        <is>
          <t>Cost of Goods Sold</t>
        </is>
      </c>
      <c r="J364" s="13" t="n">
        <v>110898</v>
      </c>
    </row>
    <row r="365">
      <c r="A365" s="40" t="n">
        <v>46317</v>
      </c>
      <c r="B365" s="12" t="inlineStr">
        <is>
          <t>J41361</t>
        </is>
      </c>
      <c r="C365" s="12" t="n">
        <v>10</v>
      </c>
      <c r="D365" s="12" t="inlineStr">
        <is>
          <t>SALES</t>
        </is>
      </c>
      <c r="E365" s="12" t="inlineStr">
        <is>
          <t>Direct Sales</t>
        </is>
      </c>
      <c r="F365" s="12" t="inlineStr">
        <is>
          <t>OPEX</t>
        </is>
      </c>
      <c r="G365" s="12" t="inlineStr">
        <is>
          <t>Operating Expenses</t>
        </is>
      </c>
      <c r="H365" s="12" t="inlineStr">
        <is>
          <t>SALARY</t>
        </is>
      </c>
      <c r="I365" s="12" t="inlineStr">
        <is>
          <t>Payroll</t>
        </is>
      </c>
      <c r="J365" s="13" t="n">
        <v>106355</v>
      </c>
    </row>
    <row r="366">
      <c r="A366" s="40" t="n">
        <v>46302</v>
      </c>
      <c r="B366" s="12" t="inlineStr">
        <is>
          <t>J41362</t>
        </is>
      </c>
      <c r="C366" s="12" t="n">
        <v>10</v>
      </c>
      <c r="D366" s="12" t="inlineStr">
        <is>
          <t>CHANNEL</t>
        </is>
      </c>
      <c r="E366" s="12" t="inlineStr">
        <is>
          <t>Distributor Channel</t>
        </is>
      </c>
      <c r="F366" s="12" t="inlineStr">
        <is>
          <t>OPEX</t>
        </is>
      </c>
      <c r="G366" s="12" t="inlineStr">
        <is>
          <t>Operating Expenses</t>
        </is>
      </c>
      <c r="H366" s="12" t="inlineStr">
        <is>
          <t>SALARY</t>
        </is>
      </c>
      <c r="I366" s="12" t="inlineStr">
        <is>
          <t>Payroll</t>
        </is>
      </c>
      <c r="J366" s="13" t="n">
        <v>53625</v>
      </c>
    </row>
    <row r="367">
      <c r="A367" s="40" t="n">
        <v>46311</v>
      </c>
      <c r="B367" s="12" t="inlineStr">
        <is>
          <t>J41363</t>
        </is>
      </c>
      <c r="C367" s="12" t="n">
        <v>10</v>
      </c>
      <c r="D367" s="12" t="inlineStr">
        <is>
          <t>SERVICE</t>
        </is>
      </c>
      <c r="E367" s="12" t="inlineStr">
        <is>
          <t>Service and Support</t>
        </is>
      </c>
      <c r="F367" s="12" t="inlineStr">
        <is>
          <t>OPEX</t>
        </is>
      </c>
      <c r="G367" s="12" t="inlineStr">
        <is>
          <t>Operating Expenses</t>
        </is>
      </c>
      <c r="H367" s="12" t="inlineStr">
        <is>
          <t>SALARY</t>
        </is>
      </c>
      <c r="I367" s="12" t="inlineStr">
        <is>
          <t>Payroll</t>
        </is>
      </c>
      <c r="J367" s="13" t="n">
        <v>29173</v>
      </c>
    </row>
    <row r="368">
      <c r="A368" s="40" t="n">
        <v>46320</v>
      </c>
      <c r="B368" s="12" t="inlineStr">
        <is>
          <t>J41364</t>
        </is>
      </c>
      <c r="C368" s="12" t="n">
        <v>10</v>
      </c>
      <c r="D368" s="12" t="inlineStr">
        <is>
          <t>SALES</t>
        </is>
      </c>
      <c r="E368" s="12" t="inlineStr">
        <is>
          <t>Direct Sales</t>
        </is>
      </c>
      <c r="F368" s="12" t="inlineStr">
        <is>
          <t>OPEX</t>
        </is>
      </c>
      <c r="G368" s="12" t="inlineStr">
        <is>
          <t>Operating Expenses</t>
        </is>
      </c>
      <c r="H368" s="12" t="inlineStr">
        <is>
          <t>RENT</t>
        </is>
      </c>
      <c r="I368" s="12" t="inlineStr">
        <is>
          <t>Rent and Facilities</t>
        </is>
      </c>
      <c r="J368" s="13" t="n">
        <v>13516</v>
      </c>
    </row>
    <row r="369">
      <c r="A369" s="40" t="n">
        <v>46320</v>
      </c>
      <c r="B369" s="12" t="inlineStr">
        <is>
          <t>J41365</t>
        </is>
      </c>
      <c r="C369" s="12" t="n">
        <v>10</v>
      </c>
      <c r="D369" s="12" t="inlineStr">
        <is>
          <t>CHANNEL</t>
        </is>
      </c>
      <c r="E369" s="12" t="inlineStr">
        <is>
          <t>Distributor Channel</t>
        </is>
      </c>
      <c r="F369" s="12" t="inlineStr">
        <is>
          <t>OPEX</t>
        </is>
      </c>
      <c r="G369" s="12" t="inlineStr">
        <is>
          <t>Operating Expenses</t>
        </is>
      </c>
      <c r="H369" s="12" t="inlineStr">
        <is>
          <t>RENT</t>
        </is>
      </c>
      <c r="I369" s="12" t="inlineStr">
        <is>
          <t>Rent and Facilities</t>
        </is>
      </c>
      <c r="J369" s="13" t="n">
        <v>12616</v>
      </c>
    </row>
    <row r="370">
      <c r="A370" s="40" t="n">
        <v>46312</v>
      </c>
      <c r="B370" s="12" t="inlineStr">
        <is>
          <t>J41366</t>
        </is>
      </c>
      <c r="C370" s="12" t="n">
        <v>10</v>
      </c>
      <c r="D370" s="12" t="inlineStr">
        <is>
          <t>SERVICE</t>
        </is>
      </c>
      <c r="E370" s="12" t="inlineStr">
        <is>
          <t>Service and Support</t>
        </is>
      </c>
      <c r="F370" s="12" t="inlineStr">
        <is>
          <t>OPEX</t>
        </is>
      </c>
      <c r="G370" s="12" t="inlineStr">
        <is>
          <t>Operating Expenses</t>
        </is>
      </c>
      <c r="H370" s="12" t="inlineStr">
        <is>
          <t>RENT</t>
        </is>
      </c>
      <c r="I370" s="12" t="inlineStr">
        <is>
          <t>Rent and Facilities</t>
        </is>
      </c>
      <c r="J370" s="13" t="n">
        <v>11575</v>
      </c>
    </row>
    <row r="371">
      <c r="A371" s="40" t="n">
        <v>46308</v>
      </c>
      <c r="B371" s="12" t="inlineStr">
        <is>
          <t>J41367</t>
        </is>
      </c>
      <c r="C371" s="12" t="n">
        <v>10</v>
      </c>
      <c r="D371" s="12" t="inlineStr">
        <is>
          <t>SALES</t>
        </is>
      </c>
      <c r="E371" s="12" t="inlineStr">
        <is>
          <t>Direct Sales</t>
        </is>
      </c>
      <c r="F371" s="12" t="inlineStr">
        <is>
          <t>OPEX</t>
        </is>
      </c>
      <c r="G371" s="12" t="inlineStr">
        <is>
          <t>Operating Expenses</t>
        </is>
      </c>
      <c r="H371" s="12" t="inlineStr">
        <is>
          <t>VEHICLE</t>
        </is>
      </c>
      <c r="I371" s="12" t="inlineStr">
        <is>
          <t>Vehicle</t>
        </is>
      </c>
      <c r="J371" s="13" t="n">
        <v>12474</v>
      </c>
    </row>
    <row r="372">
      <c r="A372" s="40" t="n">
        <v>46318</v>
      </c>
      <c r="B372" s="12" t="inlineStr">
        <is>
          <t>J41368</t>
        </is>
      </c>
      <c r="C372" s="12" t="n">
        <v>10</v>
      </c>
      <c r="D372" s="12" t="inlineStr">
        <is>
          <t>CHANNEL</t>
        </is>
      </c>
      <c r="E372" s="12" t="inlineStr">
        <is>
          <t>Distributor Channel</t>
        </is>
      </c>
      <c r="F372" s="12" t="inlineStr">
        <is>
          <t>OPEX</t>
        </is>
      </c>
      <c r="G372" s="12" t="inlineStr">
        <is>
          <t>Operating Expenses</t>
        </is>
      </c>
      <c r="H372" s="12" t="inlineStr">
        <is>
          <t>VEHICLE</t>
        </is>
      </c>
      <c r="I372" s="12" t="inlineStr">
        <is>
          <t>Vehicle</t>
        </is>
      </c>
      <c r="J372" s="13" t="n">
        <v>7294</v>
      </c>
    </row>
    <row r="373">
      <c r="A373" s="40" t="n">
        <v>46314</v>
      </c>
      <c r="B373" s="12" t="inlineStr">
        <is>
          <t>J41369</t>
        </is>
      </c>
      <c r="C373" s="12" t="n">
        <v>10</v>
      </c>
      <c r="D373" s="12" t="inlineStr">
        <is>
          <t>SERVICE</t>
        </is>
      </c>
      <c r="E373" s="12" t="inlineStr">
        <is>
          <t>Service and Support</t>
        </is>
      </c>
      <c r="F373" s="12" t="inlineStr">
        <is>
          <t>OPEX</t>
        </is>
      </c>
      <c r="G373" s="12" t="inlineStr">
        <is>
          <t>Operating Expenses</t>
        </is>
      </c>
      <c r="H373" s="12" t="inlineStr">
        <is>
          <t>VEHICLE</t>
        </is>
      </c>
      <c r="I373" s="12" t="inlineStr">
        <is>
          <t>Vehicle</t>
        </is>
      </c>
      <c r="J373" s="13" t="n">
        <v>3734</v>
      </c>
    </row>
    <row r="374">
      <c r="A374" s="40" t="n">
        <v>46314</v>
      </c>
      <c r="B374" s="12" t="inlineStr">
        <is>
          <t>J41370</t>
        </is>
      </c>
      <c r="C374" s="12" t="n">
        <v>10</v>
      </c>
      <c r="D374" s="12" t="inlineStr">
        <is>
          <t>SALES</t>
        </is>
      </c>
      <c r="E374" s="12" t="inlineStr">
        <is>
          <t>Direct Sales</t>
        </is>
      </c>
      <c r="F374" s="12" t="inlineStr">
        <is>
          <t>OPEX</t>
        </is>
      </c>
      <c r="G374" s="12" t="inlineStr">
        <is>
          <t>Operating Expenses</t>
        </is>
      </c>
      <c r="H374" s="12" t="inlineStr">
        <is>
          <t>MARKETING</t>
        </is>
      </c>
      <c r="I374" s="12" t="inlineStr">
        <is>
          <t>Marketing</t>
        </is>
      </c>
      <c r="J374" s="13" t="n">
        <v>22018</v>
      </c>
    </row>
    <row r="375">
      <c r="A375" s="40" t="n">
        <v>46303</v>
      </c>
      <c r="B375" s="12" t="inlineStr">
        <is>
          <t>J41371</t>
        </is>
      </c>
      <c r="C375" s="12" t="n">
        <v>10</v>
      </c>
      <c r="D375" s="12" t="inlineStr">
        <is>
          <t>CHANNEL</t>
        </is>
      </c>
      <c r="E375" s="12" t="inlineStr">
        <is>
          <t>Distributor Channel</t>
        </is>
      </c>
      <c r="F375" s="12" t="inlineStr">
        <is>
          <t>OPEX</t>
        </is>
      </c>
      <c r="G375" s="12" t="inlineStr">
        <is>
          <t>Operating Expenses</t>
        </is>
      </c>
      <c r="H375" s="12" t="inlineStr">
        <is>
          <t>MARKETING</t>
        </is>
      </c>
      <c r="I375" s="12" t="inlineStr">
        <is>
          <t>Marketing</t>
        </is>
      </c>
      <c r="J375" s="13" t="n">
        <v>13661</v>
      </c>
    </row>
    <row r="376">
      <c r="A376" s="40" t="n">
        <v>46312</v>
      </c>
      <c r="B376" s="12" t="inlineStr">
        <is>
          <t>J41372</t>
        </is>
      </c>
      <c r="C376" s="12" t="n">
        <v>10</v>
      </c>
      <c r="D376" s="12" t="inlineStr">
        <is>
          <t>SERVICE</t>
        </is>
      </c>
      <c r="E376" s="12" t="inlineStr">
        <is>
          <t>Service and Support</t>
        </is>
      </c>
      <c r="F376" s="12" t="inlineStr">
        <is>
          <t>OPEX</t>
        </is>
      </c>
      <c r="G376" s="12" t="inlineStr">
        <is>
          <t>Operating Expenses</t>
        </is>
      </c>
      <c r="H376" s="12" t="inlineStr">
        <is>
          <t>MARKETING</t>
        </is>
      </c>
      <c r="I376" s="12" t="inlineStr">
        <is>
          <t>Marketing</t>
        </is>
      </c>
      <c r="J376" s="13" t="n">
        <v>6690</v>
      </c>
    </row>
    <row r="377">
      <c r="A377" s="40" t="n">
        <v>46322</v>
      </c>
      <c r="B377" s="12" t="inlineStr">
        <is>
          <t>J41373</t>
        </is>
      </c>
      <c r="C377" s="12" t="n">
        <v>10</v>
      </c>
      <c r="D377" s="12" t="inlineStr">
        <is>
          <t>SALES</t>
        </is>
      </c>
      <c r="E377" s="12" t="inlineStr">
        <is>
          <t>Direct Sales</t>
        </is>
      </c>
      <c r="F377" s="12" t="inlineStr">
        <is>
          <t>OPEX</t>
        </is>
      </c>
      <c r="G377" s="12" t="inlineStr">
        <is>
          <t>Operating Expenses</t>
        </is>
      </c>
      <c r="H377" s="12" t="inlineStr">
        <is>
          <t>ENTERTAIN</t>
        </is>
      </c>
      <c r="I377" s="12" t="inlineStr">
        <is>
          <t>Entertainment</t>
        </is>
      </c>
      <c r="J377" s="13" t="n">
        <v>2894</v>
      </c>
    </row>
    <row r="378">
      <c r="A378" s="40" t="n">
        <v>46317</v>
      </c>
      <c r="B378" s="12" t="inlineStr">
        <is>
          <t>J41374</t>
        </is>
      </c>
      <c r="C378" s="12" t="n">
        <v>10</v>
      </c>
      <c r="D378" s="12" t="inlineStr">
        <is>
          <t>CHANNEL</t>
        </is>
      </c>
      <c r="E378" s="12" t="inlineStr">
        <is>
          <t>Distributor Channel</t>
        </is>
      </c>
      <c r="F378" s="12" t="inlineStr">
        <is>
          <t>OPEX</t>
        </is>
      </c>
      <c r="G378" s="12" t="inlineStr">
        <is>
          <t>Operating Expenses</t>
        </is>
      </c>
      <c r="H378" s="12" t="inlineStr">
        <is>
          <t>ENTERTAIN</t>
        </is>
      </c>
      <c r="I378" s="12" t="inlineStr">
        <is>
          <t>Entertainment</t>
        </is>
      </c>
      <c r="J378" s="13" t="n">
        <v>1709</v>
      </c>
    </row>
    <row r="379">
      <c r="A379" s="40" t="n">
        <v>46317</v>
      </c>
      <c r="B379" s="12" t="inlineStr">
        <is>
          <t>J41375</t>
        </is>
      </c>
      <c r="C379" s="12" t="n">
        <v>10</v>
      </c>
      <c r="D379" s="12" t="inlineStr">
        <is>
          <t>SERVICE</t>
        </is>
      </c>
      <c r="E379" s="12" t="inlineStr">
        <is>
          <t>Service and Support</t>
        </is>
      </c>
      <c r="F379" s="12" t="inlineStr">
        <is>
          <t>OPEX</t>
        </is>
      </c>
      <c r="G379" s="12" t="inlineStr">
        <is>
          <t>Operating Expenses</t>
        </is>
      </c>
      <c r="H379" s="12" t="inlineStr">
        <is>
          <t>ENTERTAIN</t>
        </is>
      </c>
      <c r="I379" s="12" t="inlineStr">
        <is>
          <t>Entertainment</t>
        </is>
      </c>
      <c r="J379" s="13" t="n">
        <v>839</v>
      </c>
    </row>
    <row r="380">
      <c r="A380" s="40" t="n">
        <v>46314</v>
      </c>
      <c r="B380" s="12" t="inlineStr">
        <is>
          <t>J41376</t>
        </is>
      </c>
      <c r="C380" s="12" t="n">
        <v>10</v>
      </c>
      <c r="D380" s="12" t="inlineStr">
        <is>
          <t>SALES</t>
        </is>
      </c>
      <c r="E380" s="12" t="inlineStr">
        <is>
          <t>Direct Sales</t>
        </is>
      </c>
      <c r="F380" s="12" t="inlineStr">
        <is>
          <t>OPEX</t>
        </is>
      </c>
      <c r="G380" s="12" t="inlineStr">
        <is>
          <t>Operating Expenses</t>
        </is>
      </c>
      <c r="H380" s="12" t="inlineStr">
        <is>
          <t>OFFICE</t>
        </is>
      </c>
      <c r="I380" s="12" t="inlineStr">
        <is>
          <t>Office</t>
        </is>
      </c>
      <c r="J380" s="13" t="n">
        <v>6505</v>
      </c>
    </row>
    <row r="381">
      <c r="A381" s="40" t="n">
        <v>46312</v>
      </c>
      <c r="B381" s="12" t="inlineStr">
        <is>
          <t>J41377</t>
        </is>
      </c>
      <c r="C381" s="12" t="n">
        <v>10</v>
      </c>
      <c r="D381" s="12" t="inlineStr">
        <is>
          <t>CHANNEL</t>
        </is>
      </c>
      <c r="E381" s="12" t="inlineStr">
        <is>
          <t>Distributor Channel</t>
        </is>
      </c>
      <c r="F381" s="12" t="inlineStr">
        <is>
          <t>OPEX</t>
        </is>
      </c>
      <c r="G381" s="12" t="inlineStr">
        <is>
          <t>Operating Expenses</t>
        </is>
      </c>
      <c r="H381" s="12" t="inlineStr">
        <is>
          <t>OFFICE</t>
        </is>
      </c>
      <c r="I381" s="12" t="inlineStr">
        <is>
          <t>Office</t>
        </is>
      </c>
      <c r="J381" s="13" t="n">
        <v>3410</v>
      </c>
    </row>
    <row r="382">
      <c r="A382" s="40" t="n">
        <v>46311</v>
      </c>
      <c r="B382" s="12" t="inlineStr">
        <is>
          <t>J41378</t>
        </is>
      </c>
      <c r="C382" s="12" t="n">
        <v>10</v>
      </c>
      <c r="D382" s="12" t="inlineStr">
        <is>
          <t>SERVICE</t>
        </is>
      </c>
      <c r="E382" s="12" t="inlineStr">
        <is>
          <t>Service and Support</t>
        </is>
      </c>
      <c r="F382" s="12" t="inlineStr">
        <is>
          <t>OPEX</t>
        </is>
      </c>
      <c r="G382" s="12" t="inlineStr">
        <is>
          <t>Operating Expenses</t>
        </is>
      </c>
      <c r="H382" s="12" t="inlineStr">
        <is>
          <t>OFFICE</t>
        </is>
      </c>
      <c r="I382" s="12" t="inlineStr">
        <is>
          <t>Office</t>
        </is>
      </c>
      <c r="J382" s="13" t="n">
        <v>1762</v>
      </c>
    </row>
    <row r="383">
      <c r="A383" s="40" t="n">
        <v>46310</v>
      </c>
      <c r="B383" s="12" t="inlineStr">
        <is>
          <t>J41379</t>
        </is>
      </c>
      <c r="C383" s="12" t="n">
        <v>10</v>
      </c>
      <c r="D383" s="12" t="inlineStr">
        <is>
          <t>SALES</t>
        </is>
      </c>
      <c r="E383" s="12" t="inlineStr">
        <is>
          <t>Direct Sales</t>
        </is>
      </c>
      <c r="F383" s="12" t="inlineStr">
        <is>
          <t>OPEX</t>
        </is>
      </c>
      <c r="G383" s="12" t="inlineStr">
        <is>
          <t>Operating Expenses</t>
        </is>
      </c>
      <c r="H383" s="12" t="inlineStr">
        <is>
          <t>MERCHANT</t>
        </is>
      </c>
      <c r="I383" s="12" t="inlineStr">
        <is>
          <t>Merchant Fees</t>
        </is>
      </c>
      <c r="J383" s="13" t="n">
        <v>8718</v>
      </c>
    </row>
    <row r="384">
      <c r="A384" s="40" t="n">
        <v>46312</v>
      </c>
      <c r="B384" s="12" t="inlineStr">
        <is>
          <t>J41380</t>
        </is>
      </c>
      <c r="C384" s="12" t="n">
        <v>10</v>
      </c>
      <c r="D384" s="12" t="inlineStr">
        <is>
          <t>CHANNEL</t>
        </is>
      </c>
      <c r="E384" s="12" t="inlineStr">
        <is>
          <t>Distributor Channel</t>
        </is>
      </c>
      <c r="F384" s="12" t="inlineStr">
        <is>
          <t>OPEX</t>
        </is>
      </c>
      <c r="G384" s="12" t="inlineStr">
        <is>
          <t>Operating Expenses</t>
        </is>
      </c>
      <c r="H384" s="12" t="inlineStr">
        <is>
          <t>MERCHANT</t>
        </is>
      </c>
      <c r="I384" s="12" t="inlineStr">
        <is>
          <t>Merchant Fees</t>
        </is>
      </c>
      <c r="J384" s="13" t="n">
        <v>4123</v>
      </c>
    </row>
    <row r="385">
      <c r="A385" s="40" t="n">
        <v>46306</v>
      </c>
      <c r="B385" s="12" t="inlineStr">
        <is>
          <t>J41381</t>
        </is>
      </c>
      <c r="C385" s="12" t="n">
        <v>10</v>
      </c>
      <c r="D385" s="12" t="inlineStr">
        <is>
          <t>SERVICE</t>
        </is>
      </c>
      <c r="E385" s="12" t="inlineStr">
        <is>
          <t>Service and Support</t>
        </is>
      </c>
      <c r="F385" s="12" t="inlineStr">
        <is>
          <t>OPEX</t>
        </is>
      </c>
      <c r="G385" s="12" t="inlineStr">
        <is>
          <t>Operating Expenses</t>
        </is>
      </c>
      <c r="H385" s="12" t="inlineStr">
        <is>
          <t>MERCHANT</t>
        </is>
      </c>
      <c r="I385" s="12" t="inlineStr">
        <is>
          <t>Merchant Fees</t>
        </is>
      </c>
      <c r="J385" s="13" t="n">
        <v>1955</v>
      </c>
    </row>
    <row r="386">
      <c r="A386" s="40" t="n">
        <v>46298</v>
      </c>
      <c r="B386" s="12" t="inlineStr">
        <is>
          <t>J41382</t>
        </is>
      </c>
      <c r="C386" s="12" t="n">
        <v>10</v>
      </c>
      <c r="D386" s="12" t="inlineStr">
        <is>
          <t>SALES</t>
        </is>
      </c>
      <c r="E386" s="12" t="inlineStr">
        <is>
          <t>Direct Sales</t>
        </is>
      </c>
      <c r="F386" s="12" t="inlineStr">
        <is>
          <t>OPEX</t>
        </is>
      </c>
      <c r="G386" s="12" t="inlineStr">
        <is>
          <t>Operating Expenses</t>
        </is>
      </c>
      <c r="H386" s="12" t="inlineStr">
        <is>
          <t>PROFSVC</t>
        </is>
      </c>
      <c r="I386" s="12" t="inlineStr">
        <is>
          <t>Professional Fees</t>
        </is>
      </c>
      <c r="J386" s="13" t="n">
        <v>9481</v>
      </c>
    </row>
    <row r="387">
      <c r="A387" s="40" t="n">
        <v>46317</v>
      </c>
      <c r="B387" s="12" t="inlineStr">
        <is>
          <t>J41383</t>
        </is>
      </c>
      <c r="C387" s="12" t="n">
        <v>10</v>
      </c>
      <c r="D387" s="12" t="inlineStr">
        <is>
          <t>CHANNEL</t>
        </is>
      </c>
      <c r="E387" s="12" t="inlineStr">
        <is>
          <t>Distributor Channel</t>
        </is>
      </c>
      <c r="F387" s="12" t="inlineStr">
        <is>
          <t>OPEX</t>
        </is>
      </c>
      <c r="G387" s="12" t="inlineStr">
        <is>
          <t>Operating Expenses</t>
        </is>
      </c>
      <c r="H387" s="12" t="inlineStr">
        <is>
          <t>PROFSVC</t>
        </is>
      </c>
      <c r="I387" s="12" t="inlineStr">
        <is>
          <t>Professional Fees</t>
        </is>
      </c>
      <c r="J387" s="13" t="n">
        <v>4502</v>
      </c>
    </row>
    <row r="388">
      <c r="A388" s="40" t="n">
        <v>46300</v>
      </c>
      <c r="B388" s="12" t="inlineStr">
        <is>
          <t>J41384</t>
        </is>
      </c>
      <c r="C388" s="12" t="n">
        <v>10</v>
      </c>
      <c r="D388" s="12" t="inlineStr">
        <is>
          <t>SERVICE</t>
        </is>
      </c>
      <c r="E388" s="12" t="inlineStr">
        <is>
          <t>Service and Support</t>
        </is>
      </c>
      <c r="F388" s="12" t="inlineStr">
        <is>
          <t>OPEX</t>
        </is>
      </c>
      <c r="G388" s="12" t="inlineStr">
        <is>
          <t>Operating Expenses</t>
        </is>
      </c>
      <c r="H388" s="12" t="inlineStr">
        <is>
          <t>PROFSVC</t>
        </is>
      </c>
      <c r="I388" s="12" t="inlineStr">
        <is>
          <t>Professional Fees</t>
        </is>
      </c>
      <c r="J388" s="13" t="n">
        <v>2505</v>
      </c>
    </row>
    <row r="389">
      <c r="A389" s="40" t="n">
        <v>46322</v>
      </c>
      <c r="B389" s="12" t="inlineStr">
        <is>
          <t>J41385</t>
        </is>
      </c>
      <c r="C389" s="12" t="n">
        <v>10</v>
      </c>
      <c r="D389" s="12" t="inlineStr">
        <is>
          <t>SALES</t>
        </is>
      </c>
      <c r="E389" s="12" t="inlineStr">
        <is>
          <t>Direct Sales</t>
        </is>
      </c>
      <c r="F389" s="12" t="inlineStr">
        <is>
          <t>OPEX</t>
        </is>
      </c>
      <c r="G389" s="12" t="inlineStr">
        <is>
          <t>Operating Expenses</t>
        </is>
      </c>
      <c r="H389" s="12" t="inlineStr">
        <is>
          <t>DEPREC</t>
        </is>
      </c>
      <c r="I389" s="12" t="inlineStr">
        <is>
          <t>Depreciation</t>
        </is>
      </c>
      <c r="J389" s="13" t="n">
        <v>6199</v>
      </c>
    </row>
    <row r="390">
      <c r="A390" s="40" t="n">
        <v>46310</v>
      </c>
      <c r="B390" s="12" t="inlineStr">
        <is>
          <t>J41386</t>
        </is>
      </c>
      <c r="C390" s="12" t="n">
        <v>10</v>
      </c>
      <c r="D390" s="12" t="inlineStr">
        <is>
          <t>CHANNEL</t>
        </is>
      </c>
      <c r="E390" s="12" t="inlineStr">
        <is>
          <t>Distributor Channel</t>
        </is>
      </c>
      <c r="F390" s="12" t="inlineStr">
        <is>
          <t>OPEX</t>
        </is>
      </c>
      <c r="G390" s="12" t="inlineStr">
        <is>
          <t>Operating Expenses</t>
        </is>
      </c>
      <c r="H390" s="12" t="inlineStr">
        <is>
          <t>DEPREC</t>
        </is>
      </c>
      <c r="I390" s="12" t="inlineStr">
        <is>
          <t>Depreciation</t>
        </is>
      </c>
      <c r="J390" s="13" t="n">
        <v>5260</v>
      </c>
    </row>
    <row r="391">
      <c r="A391" s="40" t="n">
        <v>46322</v>
      </c>
      <c r="B391" s="12" t="inlineStr">
        <is>
          <t>J41387</t>
        </is>
      </c>
      <c r="C391" s="12" t="n">
        <v>10</v>
      </c>
      <c r="D391" s="12" t="inlineStr">
        <is>
          <t>SERVICE</t>
        </is>
      </c>
      <c r="E391" s="12" t="inlineStr">
        <is>
          <t>Service and Support</t>
        </is>
      </c>
      <c r="F391" s="12" t="inlineStr">
        <is>
          <t>OPEX</t>
        </is>
      </c>
      <c r="G391" s="12" t="inlineStr">
        <is>
          <t>Operating Expenses</t>
        </is>
      </c>
      <c r="H391" s="12" t="inlineStr">
        <is>
          <t>DEPREC</t>
        </is>
      </c>
      <c r="I391" s="12" t="inlineStr">
        <is>
          <t>Depreciation</t>
        </is>
      </c>
      <c r="J391" s="13" t="n">
        <v>5163</v>
      </c>
    </row>
    <row r="392">
      <c r="A392" s="40" t="n">
        <v>46299</v>
      </c>
      <c r="B392" s="12" t="inlineStr">
        <is>
          <t>J41388</t>
        </is>
      </c>
      <c r="C392" s="12" t="n">
        <v>10</v>
      </c>
      <c r="D392" s="12" t="inlineStr">
        <is>
          <t>SALES</t>
        </is>
      </c>
      <c r="E392" s="12" t="inlineStr">
        <is>
          <t>Direct Sales</t>
        </is>
      </c>
      <c r="F392" s="12" t="inlineStr">
        <is>
          <t>OPEX</t>
        </is>
      </c>
      <c r="G392" s="12" t="inlineStr">
        <is>
          <t>Operating Expenses</t>
        </is>
      </c>
      <c r="H392" s="12" t="inlineStr">
        <is>
          <t>FINANCE</t>
        </is>
      </c>
      <c r="I392" s="12" t="inlineStr">
        <is>
          <t>Finance Costs</t>
        </is>
      </c>
      <c r="J392" s="13" t="n">
        <v>3240</v>
      </c>
    </row>
    <row r="393">
      <c r="A393" s="40" t="n">
        <v>46297</v>
      </c>
      <c r="B393" s="12" t="inlineStr">
        <is>
          <t>J41389</t>
        </is>
      </c>
      <c r="C393" s="12" t="n">
        <v>10</v>
      </c>
      <c r="D393" s="12" t="inlineStr">
        <is>
          <t>CHANNEL</t>
        </is>
      </c>
      <c r="E393" s="12" t="inlineStr">
        <is>
          <t>Distributor Channel</t>
        </is>
      </c>
      <c r="F393" s="12" t="inlineStr">
        <is>
          <t>OPEX</t>
        </is>
      </c>
      <c r="G393" s="12" t="inlineStr">
        <is>
          <t>Operating Expenses</t>
        </is>
      </c>
      <c r="H393" s="12" t="inlineStr">
        <is>
          <t>FINANCE</t>
        </is>
      </c>
      <c r="I393" s="12" t="inlineStr">
        <is>
          <t>Finance Costs</t>
        </is>
      </c>
      <c r="J393" s="13" t="n">
        <v>3097</v>
      </c>
    </row>
    <row r="394">
      <c r="A394" s="40" t="n">
        <v>46312</v>
      </c>
      <c r="B394" s="12" t="inlineStr">
        <is>
          <t>J41390</t>
        </is>
      </c>
      <c r="C394" s="12" t="n">
        <v>10</v>
      </c>
      <c r="D394" s="12" t="inlineStr">
        <is>
          <t>SERVICE</t>
        </is>
      </c>
      <c r="E394" s="12" t="inlineStr">
        <is>
          <t>Service and Support</t>
        </is>
      </c>
      <c r="F394" s="12" t="inlineStr">
        <is>
          <t>OPEX</t>
        </is>
      </c>
      <c r="G394" s="12" t="inlineStr">
        <is>
          <t>Operating Expenses</t>
        </is>
      </c>
      <c r="H394" s="12" t="inlineStr">
        <is>
          <t>FINANCE</t>
        </is>
      </c>
      <c r="I394" s="12" t="inlineStr">
        <is>
          <t>Finance Costs</t>
        </is>
      </c>
      <c r="J394" s="13" t="n">
        <v>2747</v>
      </c>
    </row>
    <row r="395">
      <c r="A395" s="40" t="n">
        <v>46343</v>
      </c>
      <c r="B395" s="12" t="inlineStr">
        <is>
          <t>J41391</t>
        </is>
      </c>
      <c r="C395" s="12" t="n">
        <v>11</v>
      </c>
      <c r="D395" s="12" t="inlineStr">
        <is>
          <t>SALES</t>
        </is>
      </c>
      <c r="E395" s="12" t="inlineStr">
        <is>
          <t>Direct Sales</t>
        </is>
      </c>
      <c r="F395" s="12" t="inlineStr">
        <is>
          <t>REVENUE</t>
        </is>
      </c>
      <c r="G395" s="12" t="inlineStr">
        <is>
          <t>Revenue</t>
        </is>
      </c>
      <c r="H395" s="12" t="inlineStr">
        <is>
          <t>REVENUE_PROD</t>
        </is>
      </c>
      <c r="I395" s="12" t="inlineStr">
        <is>
          <t>Product Revenue</t>
        </is>
      </c>
      <c r="J395" s="13" t="n">
        <v>528086</v>
      </c>
    </row>
    <row r="396">
      <c r="A396" s="40" t="n">
        <v>46329</v>
      </c>
      <c r="B396" s="12" t="inlineStr">
        <is>
          <t>J41392</t>
        </is>
      </c>
      <c r="C396" s="12" t="n">
        <v>11</v>
      </c>
      <c r="D396" s="12" t="inlineStr">
        <is>
          <t>CHANNEL</t>
        </is>
      </c>
      <c r="E396" s="12" t="inlineStr">
        <is>
          <t>Distributor Channel</t>
        </is>
      </c>
      <c r="F396" s="12" t="inlineStr">
        <is>
          <t>REVENUE</t>
        </is>
      </c>
      <c r="G396" s="12" t="inlineStr">
        <is>
          <t>Revenue</t>
        </is>
      </c>
      <c r="H396" s="12" t="inlineStr">
        <is>
          <t>REVENUE_PROD</t>
        </is>
      </c>
      <c r="I396" s="12" t="inlineStr">
        <is>
          <t>Product Revenue</t>
        </is>
      </c>
      <c r="J396" s="13" t="n">
        <v>312598</v>
      </c>
    </row>
    <row r="397">
      <c r="A397" s="40" t="n">
        <v>46348</v>
      </c>
      <c r="B397" s="12" t="inlineStr">
        <is>
          <t>J41393</t>
        </is>
      </c>
      <c r="C397" s="12" t="n">
        <v>11</v>
      </c>
      <c r="D397" s="12" t="inlineStr">
        <is>
          <t>SERVICE</t>
        </is>
      </c>
      <c r="E397" s="12" t="inlineStr">
        <is>
          <t>Service and Support</t>
        </is>
      </c>
      <c r="F397" s="12" t="inlineStr">
        <is>
          <t>REVENUE</t>
        </is>
      </c>
      <c r="G397" s="12" t="inlineStr">
        <is>
          <t>Revenue</t>
        </is>
      </c>
      <c r="H397" s="12" t="inlineStr">
        <is>
          <t>REVENUE_PROD</t>
        </is>
      </c>
      <c r="I397" s="12" t="inlineStr">
        <is>
          <t>Product Revenue</t>
        </is>
      </c>
      <c r="J397" s="13" t="n">
        <v>171884</v>
      </c>
    </row>
    <row r="398">
      <c r="A398" s="40" t="n">
        <v>46336</v>
      </c>
      <c r="B398" s="12" t="inlineStr">
        <is>
          <t>J41394</t>
        </is>
      </c>
      <c r="C398" s="12" t="n">
        <v>11</v>
      </c>
      <c r="D398" s="12" t="inlineStr">
        <is>
          <t>SALES</t>
        </is>
      </c>
      <c r="E398" s="12" t="inlineStr">
        <is>
          <t>Direct Sales</t>
        </is>
      </c>
      <c r="F398" s="12" t="inlineStr">
        <is>
          <t>REVENUE</t>
        </is>
      </c>
      <c r="G398" s="12" t="inlineStr">
        <is>
          <t>Revenue</t>
        </is>
      </c>
      <c r="H398" s="12" t="inlineStr">
        <is>
          <t>REVENUE_SVC</t>
        </is>
      </c>
      <c r="I398" s="12" t="inlineStr">
        <is>
          <t>Service Revenue</t>
        </is>
      </c>
      <c r="J398" s="13" t="n">
        <v>5211</v>
      </c>
    </row>
    <row r="399">
      <c r="A399" s="40" t="n">
        <v>46344</v>
      </c>
      <c r="B399" s="12" t="inlineStr">
        <is>
          <t>J41395</t>
        </is>
      </c>
      <c r="C399" s="12" t="n">
        <v>11</v>
      </c>
      <c r="D399" s="12" t="inlineStr">
        <is>
          <t>CHANNEL</t>
        </is>
      </c>
      <c r="E399" s="12" t="inlineStr">
        <is>
          <t>Distributor Channel</t>
        </is>
      </c>
      <c r="F399" s="12" t="inlineStr">
        <is>
          <t>REVENUE</t>
        </is>
      </c>
      <c r="G399" s="12" t="inlineStr">
        <is>
          <t>Revenue</t>
        </is>
      </c>
      <c r="H399" s="12" t="inlineStr">
        <is>
          <t>REVENUE_SVC</t>
        </is>
      </c>
      <c r="I399" s="12" t="inlineStr">
        <is>
          <t>Service Revenue</t>
        </is>
      </c>
      <c r="J399" s="13" t="n">
        <v>5473</v>
      </c>
    </row>
    <row r="400">
      <c r="A400" s="40" t="n">
        <v>46335</v>
      </c>
      <c r="B400" s="12" t="inlineStr">
        <is>
          <t>J41396</t>
        </is>
      </c>
      <c r="C400" s="12" t="n">
        <v>11</v>
      </c>
      <c r="D400" s="12" t="inlineStr">
        <is>
          <t>SERVICE</t>
        </is>
      </c>
      <c r="E400" s="12" t="inlineStr">
        <is>
          <t>Service and Support</t>
        </is>
      </c>
      <c r="F400" s="12" t="inlineStr">
        <is>
          <t>REVENUE</t>
        </is>
      </c>
      <c r="G400" s="12" t="inlineStr">
        <is>
          <t>Revenue</t>
        </is>
      </c>
      <c r="H400" s="12" t="inlineStr">
        <is>
          <t>REVENUE_SVC</t>
        </is>
      </c>
      <c r="I400" s="12" t="inlineStr">
        <is>
          <t>Service Revenue</t>
        </is>
      </c>
      <c r="J400" s="13" t="n">
        <v>97445</v>
      </c>
    </row>
    <row r="401">
      <c r="A401" s="40" t="n">
        <v>46338</v>
      </c>
      <c r="B401" s="12" t="inlineStr">
        <is>
          <t>J41397</t>
        </is>
      </c>
      <c r="C401" s="12" t="n">
        <v>11</v>
      </c>
      <c r="D401" s="12" t="inlineStr">
        <is>
          <t>SALES</t>
        </is>
      </c>
      <c r="E401" s="12" t="inlineStr">
        <is>
          <t>Direct Sales</t>
        </is>
      </c>
      <c r="F401" s="12" t="inlineStr">
        <is>
          <t>COGS</t>
        </is>
      </c>
      <c r="G401" s="12" t="inlineStr">
        <is>
          <t>Cost of Sales</t>
        </is>
      </c>
      <c r="H401" s="12" t="inlineStr">
        <is>
          <t>COGS</t>
        </is>
      </c>
      <c r="I401" s="12" t="inlineStr">
        <is>
          <t>Cost of Goods Sold</t>
        </is>
      </c>
      <c r="J401" s="13" t="n">
        <v>399148</v>
      </c>
    </row>
    <row r="402">
      <c r="A402" s="40" t="n">
        <v>46332</v>
      </c>
      <c r="B402" s="12" t="inlineStr">
        <is>
          <t>J41398</t>
        </is>
      </c>
      <c r="C402" s="12" t="n">
        <v>11</v>
      </c>
      <c r="D402" s="12" t="inlineStr">
        <is>
          <t>CHANNEL</t>
        </is>
      </c>
      <c r="E402" s="12" t="inlineStr">
        <is>
          <t>Distributor Channel</t>
        </is>
      </c>
      <c r="F402" s="12" t="inlineStr">
        <is>
          <t>COGS</t>
        </is>
      </c>
      <c r="G402" s="12" t="inlineStr">
        <is>
          <t>Cost of Sales</t>
        </is>
      </c>
      <c r="H402" s="12" t="inlineStr">
        <is>
          <t>COGS</t>
        </is>
      </c>
      <c r="I402" s="12" t="inlineStr">
        <is>
          <t>Cost of Goods Sold</t>
        </is>
      </c>
      <c r="J402" s="13" t="n">
        <v>207577</v>
      </c>
    </row>
    <row r="403">
      <c r="A403" s="40" t="n">
        <v>46347</v>
      </c>
      <c r="B403" s="12" t="inlineStr">
        <is>
          <t>J41399</t>
        </is>
      </c>
      <c r="C403" s="12" t="n">
        <v>11</v>
      </c>
      <c r="D403" s="12" t="inlineStr">
        <is>
          <t>SERVICE</t>
        </is>
      </c>
      <c r="E403" s="12" t="inlineStr">
        <is>
          <t>Service and Support</t>
        </is>
      </c>
      <c r="F403" s="12" t="inlineStr">
        <is>
          <t>COGS</t>
        </is>
      </c>
      <c r="G403" s="12" t="inlineStr">
        <is>
          <t>Cost of Sales</t>
        </is>
      </c>
      <c r="H403" s="12" t="inlineStr">
        <is>
          <t>COGS</t>
        </is>
      </c>
      <c r="I403" s="12" t="inlineStr">
        <is>
          <t>Cost of Goods Sold</t>
        </is>
      </c>
      <c r="J403" s="13" t="n">
        <v>122537</v>
      </c>
    </row>
    <row r="404">
      <c r="A404" s="40" t="n">
        <v>46353</v>
      </c>
      <c r="B404" s="12" t="inlineStr">
        <is>
          <t>J41400</t>
        </is>
      </c>
      <c r="C404" s="12" t="n">
        <v>11</v>
      </c>
      <c r="D404" s="12" t="inlineStr">
        <is>
          <t>SALES</t>
        </is>
      </c>
      <c r="E404" s="12" t="inlineStr">
        <is>
          <t>Direct Sales</t>
        </is>
      </c>
      <c r="F404" s="12" t="inlineStr">
        <is>
          <t>OPEX</t>
        </is>
      </c>
      <c r="G404" s="12" t="inlineStr">
        <is>
          <t>Operating Expenses</t>
        </is>
      </c>
      <c r="H404" s="12" t="inlineStr">
        <is>
          <t>SALARY</t>
        </is>
      </c>
      <c r="I404" s="12" t="inlineStr">
        <is>
          <t>Payroll</t>
        </is>
      </c>
      <c r="J404" s="13" t="n">
        <v>97883</v>
      </c>
    </row>
    <row r="405">
      <c r="A405" s="40" t="n">
        <v>46342</v>
      </c>
      <c r="B405" s="12" t="inlineStr">
        <is>
          <t>J41401</t>
        </is>
      </c>
      <c r="C405" s="12" t="n">
        <v>11</v>
      </c>
      <c r="D405" s="12" t="inlineStr">
        <is>
          <t>CHANNEL</t>
        </is>
      </c>
      <c r="E405" s="12" t="inlineStr">
        <is>
          <t>Distributor Channel</t>
        </is>
      </c>
      <c r="F405" s="12" t="inlineStr">
        <is>
          <t>OPEX</t>
        </is>
      </c>
      <c r="G405" s="12" t="inlineStr">
        <is>
          <t>Operating Expenses</t>
        </is>
      </c>
      <c r="H405" s="12" t="inlineStr">
        <is>
          <t>SALARY</t>
        </is>
      </c>
      <c r="I405" s="12" t="inlineStr">
        <is>
          <t>Payroll</t>
        </is>
      </c>
      <c r="J405" s="13" t="n">
        <v>48890</v>
      </c>
    </row>
    <row r="406">
      <c r="A406" s="40" t="n">
        <v>46330</v>
      </c>
      <c r="B406" s="12" t="inlineStr">
        <is>
          <t>J41402</t>
        </is>
      </c>
      <c r="C406" s="12" t="n">
        <v>11</v>
      </c>
      <c r="D406" s="12" t="inlineStr">
        <is>
          <t>SERVICE</t>
        </is>
      </c>
      <c r="E406" s="12" t="inlineStr">
        <is>
          <t>Service and Support</t>
        </is>
      </c>
      <c r="F406" s="12" t="inlineStr">
        <is>
          <t>OPEX</t>
        </is>
      </c>
      <c r="G406" s="12" t="inlineStr">
        <is>
          <t>Operating Expenses</t>
        </is>
      </c>
      <c r="H406" s="12" t="inlineStr">
        <is>
          <t>SALARY</t>
        </is>
      </c>
      <c r="I406" s="12" t="inlineStr">
        <is>
          <t>Payroll</t>
        </is>
      </c>
      <c r="J406" s="13" t="n">
        <v>26706</v>
      </c>
    </row>
    <row r="407">
      <c r="A407" s="40" t="n">
        <v>46332</v>
      </c>
      <c r="B407" s="12" t="inlineStr">
        <is>
          <t>J41403</t>
        </is>
      </c>
      <c r="C407" s="12" t="n">
        <v>11</v>
      </c>
      <c r="D407" s="12" t="inlineStr">
        <is>
          <t>SALES</t>
        </is>
      </c>
      <c r="E407" s="12" t="inlineStr">
        <is>
          <t>Direct Sales</t>
        </is>
      </c>
      <c r="F407" s="12" t="inlineStr">
        <is>
          <t>OPEX</t>
        </is>
      </c>
      <c r="G407" s="12" t="inlineStr">
        <is>
          <t>Operating Expenses</t>
        </is>
      </c>
      <c r="H407" s="12" t="inlineStr">
        <is>
          <t>RENT</t>
        </is>
      </c>
      <c r="I407" s="12" t="inlineStr">
        <is>
          <t>Rent and Facilities</t>
        </is>
      </c>
      <c r="J407" s="13" t="n">
        <v>10754</v>
      </c>
    </row>
    <row r="408">
      <c r="A408" s="40" t="n">
        <v>46328</v>
      </c>
      <c r="B408" s="12" t="inlineStr">
        <is>
          <t>J41404</t>
        </is>
      </c>
      <c r="C408" s="12" t="n">
        <v>11</v>
      </c>
      <c r="D408" s="12" t="inlineStr">
        <is>
          <t>CHANNEL</t>
        </is>
      </c>
      <c r="E408" s="12" t="inlineStr">
        <is>
          <t>Distributor Channel</t>
        </is>
      </c>
      <c r="F408" s="12" t="inlineStr">
        <is>
          <t>OPEX</t>
        </is>
      </c>
      <c r="G408" s="12" t="inlineStr">
        <is>
          <t>Operating Expenses</t>
        </is>
      </c>
      <c r="H408" s="12" t="inlineStr">
        <is>
          <t>RENT</t>
        </is>
      </c>
      <c r="I408" s="12" t="inlineStr">
        <is>
          <t>Rent and Facilities</t>
        </is>
      </c>
      <c r="J408" s="13" t="n">
        <v>12091</v>
      </c>
    </row>
    <row r="409">
      <c r="A409" s="40" t="n">
        <v>46339</v>
      </c>
      <c r="B409" s="12" t="inlineStr">
        <is>
          <t>J41405</t>
        </is>
      </c>
      <c r="C409" s="12" t="n">
        <v>11</v>
      </c>
      <c r="D409" s="12" t="inlineStr">
        <is>
          <t>SERVICE</t>
        </is>
      </c>
      <c r="E409" s="12" t="inlineStr">
        <is>
          <t>Service and Support</t>
        </is>
      </c>
      <c r="F409" s="12" t="inlineStr">
        <is>
          <t>OPEX</t>
        </is>
      </c>
      <c r="G409" s="12" t="inlineStr">
        <is>
          <t>Operating Expenses</t>
        </is>
      </c>
      <c r="H409" s="12" t="inlineStr">
        <is>
          <t>RENT</t>
        </is>
      </c>
      <c r="I409" s="12" t="inlineStr">
        <is>
          <t>Rent and Facilities</t>
        </is>
      </c>
      <c r="J409" s="13" t="n">
        <v>10674</v>
      </c>
    </row>
    <row r="410">
      <c r="A410" s="40" t="n">
        <v>46337</v>
      </c>
      <c r="B410" s="12" t="inlineStr">
        <is>
          <t>J41406</t>
        </is>
      </c>
      <c r="C410" s="12" t="n">
        <v>11</v>
      </c>
      <c r="D410" s="12" t="inlineStr">
        <is>
          <t>SALES</t>
        </is>
      </c>
      <c r="E410" s="12" t="inlineStr">
        <is>
          <t>Direct Sales</t>
        </is>
      </c>
      <c r="F410" s="12" t="inlineStr">
        <is>
          <t>OPEX</t>
        </is>
      </c>
      <c r="G410" s="12" t="inlineStr">
        <is>
          <t>Operating Expenses</t>
        </is>
      </c>
      <c r="H410" s="12" t="inlineStr">
        <is>
          <t>VEHICLE</t>
        </is>
      </c>
      <c r="I410" s="12" t="inlineStr">
        <is>
          <t>Vehicle</t>
        </is>
      </c>
      <c r="J410" s="13" t="n">
        <v>13871</v>
      </c>
    </row>
    <row r="411">
      <c r="A411" s="40" t="n">
        <v>46338</v>
      </c>
      <c r="B411" s="12" t="inlineStr">
        <is>
          <t>J41407</t>
        </is>
      </c>
      <c r="C411" s="12" t="n">
        <v>11</v>
      </c>
      <c r="D411" s="12" t="inlineStr">
        <is>
          <t>CHANNEL</t>
        </is>
      </c>
      <c r="E411" s="12" t="inlineStr">
        <is>
          <t>Distributor Channel</t>
        </is>
      </c>
      <c r="F411" s="12" t="inlineStr">
        <is>
          <t>OPEX</t>
        </is>
      </c>
      <c r="G411" s="12" t="inlineStr">
        <is>
          <t>Operating Expenses</t>
        </is>
      </c>
      <c r="H411" s="12" t="inlineStr">
        <is>
          <t>VEHICLE</t>
        </is>
      </c>
      <c r="I411" s="12" t="inlineStr">
        <is>
          <t>Vehicle</t>
        </is>
      </c>
      <c r="J411" s="13" t="n">
        <v>6626</v>
      </c>
    </row>
    <row r="412">
      <c r="A412" s="40" t="n">
        <v>46347</v>
      </c>
      <c r="B412" s="12" t="inlineStr">
        <is>
          <t>J41408</t>
        </is>
      </c>
      <c r="C412" s="12" t="n">
        <v>11</v>
      </c>
      <c r="D412" s="12" t="inlineStr">
        <is>
          <t>SERVICE</t>
        </is>
      </c>
      <c r="E412" s="12" t="inlineStr">
        <is>
          <t>Service and Support</t>
        </is>
      </c>
      <c r="F412" s="12" t="inlineStr">
        <is>
          <t>OPEX</t>
        </is>
      </c>
      <c r="G412" s="12" t="inlineStr">
        <is>
          <t>Operating Expenses</t>
        </is>
      </c>
      <c r="H412" s="12" t="inlineStr">
        <is>
          <t>VEHICLE</t>
        </is>
      </c>
      <c r="I412" s="12" t="inlineStr">
        <is>
          <t>Vehicle</t>
        </is>
      </c>
      <c r="J412" s="13" t="n">
        <v>3686</v>
      </c>
    </row>
    <row r="413">
      <c r="A413" s="40" t="n">
        <v>46348</v>
      </c>
      <c r="B413" s="12" t="inlineStr">
        <is>
          <t>J41409</t>
        </is>
      </c>
      <c r="C413" s="12" t="n">
        <v>11</v>
      </c>
      <c r="D413" s="12" t="inlineStr">
        <is>
          <t>SALES</t>
        </is>
      </c>
      <c r="E413" s="12" t="inlineStr">
        <is>
          <t>Direct Sales</t>
        </is>
      </c>
      <c r="F413" s="12" t="inlineStr">
        <is>
          <t>OPEX</t>
        </is>
      </c>
      <c r="G413" s="12" t="inlineStr">
        <is>
          <t>Operating Expenses</t>
        </is>
      </c>
      <c r="H413" s="12" t="inlineStr">
        <is>
          <t>MARKETING</t>
        </is>
      </c>
      <c r="I413" s="12" t="inlineStr">
        <is>
          <t>Marketing</t>
        </is>
      </c>
      <c r="J413" s="13" t="n">
        <v>21120</v>
      </c>
    </row>
    <row r="414">
      <c r="A414" s="40" t="n">
        <v>46349</v>
      </c>
      <c r="B414" s="12" t="inlineStr">
        <is>
          <t>J41410</t>
        </is>
      </c>
      <c r="C414" s="12" t="n">
        <v>11</v>
      </c>
      <c r="D414" s="12" t="inlineStr">
        <is>
          <t>CHANNEL</t>
        </is>
      </c>
      <c r="E414" s="12" t="inlineStr">
        <is>
          <t>Distributor Channel</t>
        </is>
      </c>
      <c r="F414" s="12" t="inlineStr">
        <is>
          <t>OPEX</t>
        </is>
      </c>
      <c r="G414" s="12" t="inlineStr">
        <is>
          <t>Operating Expenses</t>
        </is>
      </c>
      <c r="H414" s="12" t="inlineStr">
        <is>
          <t>MARKETING</t>
        </is>
      </c>
      <c r="I414" s="12" t="inlineStr">
        <is>
          <t>Marketing</t>
        </is>
      </c>
      <c r="J414" s="13" t="n">
        <v>11182</v>
      </c>
    </row>
    <row r="415">
      <c r="A415" s="40" t="n">
        <v>46343</v>
      </c>
      <c r="B415" s="12" t="inlineStr">
        <is>
          <t>J41411</t>
        </is>
      </c>
      <c r="C415" s="12" t="n">
        <v>11</v>
      </c>
      <c r="D415" s="12" t="inlineStr">
        <is>
          <t>SERVICE</t>
        </is>
      </c>
      <c r="E415" s="12" t="inlineStr">
        <is>
          <t>Service and Support</t>
        </is>
      </c>
      <c r="F415" s="12" t="inlineStr">
        <is>
          <t>OPEX</t>
        </is>
      </c>
      <c r="G415" s="12" t="inlineStr">
        <is>
          <t>Operating Expenses</t>
        </is>
      </c>
      <c r="H415" s="12" t="inlineStr">
        <is>
          <t>MARKETING</t>
        </is>
      </c>
      <c r="I415" s="12" t="inlineStr">
        <is>
          <t>Marketing</t>
        </is>
      </c>
      <c r="J415" s="13" t="n">
        <v>6099</v>
      </c>
    </row>
    <row r="416">
      <c r="A416" s="40" t="n">
        <v>46338</v>
      </c>
      <c r="B416" s="12" t="inlineStr">
        <is>
          <t>J41412</t>
        </is>
      </c>
      <c r="C416" s="12" t="n">
        <v>11</v>
      </c>
      <c r="D416" s="12" t="inlineStr">
        <is>
          <t>SALES</t>
        </is>
      </c>
      <c r="E416" s="12" t="inlineStr">
        <is>
          <t>Direct Sales</t>
        </is>
      </c>
      <c r="F416" s="12" t="inlineStr">
        <is>
          <t>OPEX</t>
        </is>
      </c>
      <c r="G416" s="12" t="inlineStr">
        <is>
          <t>Operating Expenses</t>
        </is>
      </c>
      <c r="H416" s="12" t="inlineStr">
        <is>
          <t>ENTERTAIN</t>
        </is>
      </c>
      <c r="I416" s="12" t="inlineStr">
        <is>
          <t>Entertainment</t>
        </is>
      </c>
      <c r="J416" s="13" t="n">
        <v>2685</v>
      </c>
    </row>
    <row r="417">
      <c r="A417" s="40" t="n">
        <v>46329</v>
      </c>
      <c r="B417" s="12" t="inlineStr">
        <is>
          <t>J41413</t>
        </is>
      </c>
      <c r="C417" s="12" t="n">
        <v>11</v>
      </c>
      <c r="D417" s="12" t="inlineStr">
        <is>
          <t>CHANNEL</t>
        </is>
      </c>
      <c r="E417" s="12" t="inlineStr">
        <is>
          <t>Distributor Channel</t>
        </is>
      </c>
      <c r="F417" s="12" t="inlineStr">
        <is>
          <t>OPEX</t>
        </is>
      </c>
      <c r="G417" s="12" t="inlineStr">
        <is>
          <t>Operating Expenses</t>
        </is>
      </c>
      <c r="H417" s="12" t="inlineStr">
        <is>
          <t>ENTERTAIN</t>
        </is>
      </c>
      <c r="I417" s="12" t="inlineStr">
        <is>
          <t>Entertainment</t>
        </is>
      </c>
      <c r="J417" s="13" t="n">
        <v>1712</v>
      </c>
    </row>
    <row r="418">
      <c r="A418" s="40" t="n">
        <v>46336</v>
      </c>
      <c r="B418" s="12" t="inlineStr">
        <is>
          <t>J41414</t>
        </is>
      </c>
      <c r="C418" s="12" t="n">
        <v>11</v>
      </c>
      <c r="D418" s="12" t="inlineStr">
        <is>
          <t>SERVICE</t>
        </is>
      </c>
      <c r="E418" s="12" t="inlineStr">
        <is>
          <t>Service and Support</t>
        </is>
      </c>
      <c r="F418" s="12" t="inlineStr">
        <is>
          <t>OPEX</t>
        </is>
      </c>
      <c r="G418" s="12" t="inlineStr">
        <is>
          <t>Operating Expenses</t>
        </is>
      </c>
      <c r="H418" s="12" t="inlineStr">
        <is>
          <t>ENTERTAIN</t>
        </is>
      </c>
      <c r="I418" s="12" t="inlineStr">
        <is>
          <t>Entertainment</t>
        </is>
      </c>
      <c r="J418" s="13" t="n">
        <v>856</v>
      </c>
    </row>
    <row r="419">
      <c r="A419" s="40" t="n">
        <v>46342</v>
      </c>
      <c r="B419" s="12" t="inlineStr">
        <is>
          <t>J41415</t>
        </is>
      </c>
      <c r="C419" s="12" t="n">
        <v>11</v>
      </c>
      <c r="D419" s="12" t="inlineStr">
        <is>
          <t>SALES</t>
        </is>
      </c>
      <c r="E419" s="12" t="inlineStr">
        <is>
          <t>Direct Sales</t>
        </is>
      </c>
      <c r="F419" s="12" t="inlineStr">
        <is>
          <t>OPEX</t>
        </is>
      </c>
      <c r="G419" s="12" t="inlineStr">
        <is>
          <t>Operating Expenses</t>
        </is>
      </c>
      <c r="H419" s="12" t="inlineStr">
        <is>
          <t>OFFICE</t>
        </is>
      </c>
      <c r="I419" s="12" t="inlineStr">
        <is>
          <t>Office</t>
        </is>
      </c>
      <c r="J419" s="13" t="n">
        <v>5821</v>
      </c>
    </row>
    <row r="420">
      <c r="A420" s="40" t="n">
        <v>46349</v>
      </c>
      <c r="B420" s="12" t="inlineStr">
        <is>
          <t>J41416</t>
        </is>
      </c>
      <c r="C420" s="12" t="n">
        <v>11</v>
      </c>
      <c r="D420" s="12" t="inlineStr">
        <is>
          <t>CHANNEL</t>
        </is>
      </c>
      <c r="E420" s="12" t="inlineStr">
        <is>
          <t>Distributor Channel</t>
        </is>
      </c>
      <c r="F420" s="12" t="inlineStr">
        <is>
          <t>OPEX</t>
        </is>
      </c>
      <c r="G420" s="12" t="inlineStr">
        <is>
          <t>Operating Expenses</t>
        </is>
      </c>
      <c r="H420" s="12" t="inlineStr">
        <is>
          <t>OFFICE</t>
        </is>
      </c>
      <c r="I420" s="12" t="inlineStr">
        <is>
          <t>Office</t>
        </is>
      </c>
      <c r="J420" s="13" t="n">
        <v>3106</v>
      </c>
    </row>
    <row r="421">
      <c r="A421" s="40" t="n">
        <v>46329</v>
      </c>
      <c r="B421" s="12" t="inlineStr">
        <is>
          <t>J41417</t>
        </is>
      </c>
      <c r="C421" s="12" t="n">
        <v>11</v>
      </c>
      <c r="D421" s="12" t="inlineStr">
        <is>
          <t>SERVICE</t>
        </is>
      </c>
      <c r="E421" s="12" t="inlineStr">
        <is>
          <t>Service and Support</t>
        </is>
      </c>
      <c r="F421" s="12" t="inlineStr">
        <is>
          <t>OPEX</t>
        </is>
      </c>
      <c r="G421" s="12" t="inlineStr">
        <is>
          <t>Operating Expenses</t>
        </is>
      </c>
      <c r="H421" s="12" t="inlineStr">
        <is>
          <t>OFFICE</t>
        </is>
      </c>
      <c r="I421" s="12" t="inlineStr">
        <is>
          <t>Office</t>
        </is>
      </c>
      <c r="J421" s="13" t="n">
        <v>1539</v>
      </c>
    </row>
    <row r="422">
      <c r="A422" s="40" t="n">
        <v>46330</v>
      </c>
      <c r="B422" s="12" t="inlineStr">
        <is>
          <t>J41418</t>
        </is>
      </c>
      <c r="C422" s="12" t="n">
        <v>11</v>
      </c>
      <c r="D422" s="12" t="inlineStr">
        <is>
          <t>SALES</t>
        </is>
      </c>
      <c r="E422" s="12" t="inlineStr">
        <is>
          <t>Direct Sales</t>
        </is>
      </c>
      <c r="F422" s="12" t="inlineStr">
        <is>
          <t>OPEX</t>
        </is>
      </c>
      <c r="G422" s="12" t="inlineStr">
        <is>
          <t>Operating Expenses</t>
        </is>
      </c>
      <c r="H422" s="12" t="inlineStr">
        <is>
          <t>MERCHANT</t>
        </is>
      </c>
      <c r="I422" s="12" t="inlineStr">
        <is>
          <t>Merchant Fees</t>
        </is>
      </c>
      <c r="J422" s="13" t="n">
        <v>7864</v>
      </c>
    </row>
    <row r="423">
      <c r="A423" s="40" t="n">
        <v>46353</v>
      </c>
      <c r="B423" s="12" t="inlineStr">
        <is>
          <t>J41419</t>
        </is>
      </c>
      <c r="C423" s="12" t="n">
        <v>11</v>
      </c>
      <c r="D423" s="12" t="inlineStr">
        <is>
          <t>CHANNEL</t>
        </is>
      </c>
      <c r="E423" s="12" t="inlineStr">
        <is>
          <t>Distributor Channel</t>
        </is>
      </c>
      <c r="F423" s="12" t="inlineStr">
        <is>
          <t>OPEX</t>
        </is>
      </c>
      <c r="G423" s="12" t="inlineStr">
        <is>
          <t>Operating Expenses</t>
        </is>
      </c>
      <c r="H423" s="12" t="inlineStr">
        <is>
          <t>MERCHANT</t>
        </is>
      </c>
      <c r="I423" s="12" t="inlineStr">
        <is>
          <t>Merchant Fees</t>
        </is>
      </c>
      <c r="J423" s="13" t="n">
        <v>4203</v>
      </c>
    </row>
    <row r="424">
      <c r="A424" s="40" t="n">
        <v>46342</v>
      </c>
      <c r="B424" s="12" t="inlineStr">
        <is>
          <t>J41420</t>
        </is>
      </c>
      <c r="C424" s="12" t="n">
        <v>11</v>
      </c>
      <c r="D424" s="12" t="inlineStr">
        <is>
          <t>SERVICE</t>
        </is>
      </c>
      <c r="E424" s="12" t="inlineStr">
        <is>
          <t>Service and Support</t>
        </is>
      </c>
      <c r="F424" s="12" t="inlineStr">
        <is>
          <t>OPEX</t>
        </is>
      </c>
      <c r="G424" s="12" t="inlineStr">
        <is>
          <t>Operating Expenses</t>
        </is>
      </c>
      <c r="H424" s="12" t="inlineStr">
        <is>
          <t>MERCHANT</t>
        </is>
      </c>
      <c r="I424" s="12" t="inlineStr">
        <is>
          <t>Merchant Fees</t>
        </is>
      </c>
      <c r="J424" s="13" t="n">
        <v>2111</v>
      </c>
    </row>
    <row r="425">
      <c r="A425" s="40" t="n">
        <v>46346</v>
      </c>
      <c r="B425" s="12" t="inlineStr">
        <is>
          <t>J41421</t>
        </is>
      </c>
      <c r="C425" s="12" t="n">
        <v>11</v>
      </c>
      <c r="D425" s="12" t="inlineStr">
        <is>
          <t>SALES</t>
        </is>
      </c>
      <c r="E425" s="12" t="inlineStr">
        <is>
          <t>Direct Sales</t>
        </is>
      </c>
      <c r="F425" s="12" t="inlineStr">
        <is>
          <t>OPEX</t>
        </is>
      </c>
      <c r="G425" s="12" t="inlineStr">
        <is>
          <t>Operating Expenses</t>
        </is>
      </c>
      <c r="H425" s="12" t="inlineStr">
        <is>
          <t>PROFSVC</t>
        </is>
      </c>
      <c r="I425" s="12" t="inlineStr">
        <is>
          <t>Professional Fees</t>
        </is>
      </c>
      <c r="J425" s="13" t="n">
        <v>7963</v>
      </c>
    </row>
    <row r="426">
      <c r="A426" s="40" t="n">
        <v>46337</v>
      </c>
      <c r="B426" s="12" t="inlineStr">
        <is>
          <t>J41422</t>
        </is>
      </c>
      <c r="C426" s="12" t="n">
        <v>11</v>
      </c>
      <c r="D426" s="12" t="inlineStr">
        <is>
          <t>CHANNEL</t>
        </is>
      </c>
      <c r="E426" s="12" t="inlineStr">
        <is>
          <t>Distributor Channel</t>
        </is>
      </c>
      <c r="F426" s="12" t="inlineStr">
        <is>
          <t>OPEX</t>
        </is>
      </c>
      <c r="G426" s="12" t="inlineStr">
        <is>
          <t>Operating Expenses</t>
        </is>
      </c>
      <c r="H426" s="12" t="inlineStr">
        <is>
          <t>PROFSVC</t>
        </is>
      </c>
      <c r="I426" s="12" t="inlineStr">
        <is>
          <t>Professional Fees</t>
        </is>
      </c>
      <c r="J426" s="13" t="n">
        <v>4342</v>
      </c>
    </row>
    <row r="427">
      <c r="A427" s="40" t="n">
        <v>46329</v>
      </c>
      <c r="B427" s="12" t="inlineStr">
        <is>
          <t>J41423</t>
        </is>
      </c>
      <c r="C427" s="12" t="n">
        <v>11</v>
      </c>
      <c r="D427" s="12" t="inlineStr">
        <is>
          <t>SERVICE</t>
        </is>
      </c>
      <c r="E427" s="12" t="inlineStr">
        <is>
          <t>Service and Support</t>
        </is>
      </c>
      <c r="F427" s="12" t="inlineStr">
        <is>
          <t>OPEX</t>
        </is>
      </c>
      <c r="G427" s="12" t="inlineStr">
        <is>
          <t>Operating Expenses</t>
        </is>
      </c>
      <c r="H427" s="12" t="inlineStr">
        <is>
          <t>PROFSVC</t>
        </is>
      </c>
      <c r="I427" s="12" t="inlineStr">
        <is>
          <t>Professional Fees</t>
        </is>
      </c>
      <c r="J427" s="13" t="n">
        <v>2413</v>
      </c>
    </row>
    <row r="428">
      <c r="A428" s="40" t="n">
        <v>46329</v>
      </c>
      <c r="B428" s="12" t="inlineStr">
        <is>
          <t>J41424</t>
        </is>
      </c>
      <c r="C428" s="12" t="n">
        <v>11</v>
      </c>
      <c r="D428" s="12" t="inlineStr">
        <is>
          <t>SALES</t>
        </is>
      </c>
      <c r="E428" s="12" t="inlineStr">
        <is>
          <t>Direct Sales</t>
        </is>
      </c>
      <c r="F428" s="12" t="inlineStr">
        <is>
          <t>OPEX</t>
        </is>
      </c>
      <c r="G428" s="12" t="inlineStr">
        <is>
          <t>Operating Expenses</t>
        </is>
      </c>
      <c r="H428" s="12" t="inlineStr">
        <is>
          <t>DEPREC</t>
        </is>
      </c>
      <c r="I428" s="12" t="inlineStr">
        <is>
          <t>Depreciation</t>
        </is>
      </c>
      <c r="J428" s="13" t="n">
        <v>5231</v>
      </c>
    </row>
    <row r="429">
      <c r="A429" s="40" t="n">
        <v>46335</v>
      </c>
      <c r="B429" s="12" t="inlineStr">
        <is>
          <t>J41425</t>
        </is>
      </c>
      <c r="C429" s="12" t="n">
        <v>11</v>
      </c>
      <c r="D429" s="12" t="inlineStr">
        <is>
          <t>CHANNEL</t>
        </is>
      </c>
      <c r="E429" s="12" t="inlineStr">
        <is>
          <t>Distributor Channel</t>
        </is>
      </c>
      <c r="F429" s="12" t="inlineStr">
        <is>
          <t>OPEX</t>
        </is>
      </c>
      <c r="G429" s="12" t="inlineStr">
        <is>
          <t>Operating Expenses</t>
        </is>
      </c>
      <c r="H429" s="12" t="inlineStr">
        <is>
          <t>DEPREC</t>
        </is>
      </c>
      <c r="I429" s="12" t="inlineStr">
        <is>
          <t>Depreciation</t>
        </is>
      </c>
      <c r="J429" s="13" t="n">
        <v>5453</v>
      </c>
    </row>
    <row r="430">
      <c r="A430" s="40" t="n">
        <v>46350</v>
      </c>
      <c r="B430" s="12" t="inlineStr">
        <is>
          <t>J41426</t>
        </is>
      </c>
      <c r="C430" s="12" t="n">
        <v>11</v>
      </c>
      <c r="D430" s="12" t="inlineStr">
        <is>
          <t>SERVICE</t>
        </is>
      </c>
      <c r="E430" s="12" t="inlineStr">
        <is>
          <t>Service and Support</t>
        </is>
      </c>
      <c r="F430" s="12" t="inlineStr">
        <is>
          <t>OPEX</t>
        </is>
      </c>
      <c r="G430" s="12" t="inlineStr">
        <is>
          <t>Operating Expenses</t>
        </is>
      </c>
      <c r="H430" s="12" t="inlineStr">
        <is>
          <t>DEPREC</t>
        </is>
      </c>
      <c r="I430" s="12" t="inlineStr">
        <is>
          <t>Depreciation</t>
        </is>
      </c>
      <c r="J430" s="13" t="n">
        <v>5293</v>
      </c>
    </row>
    <row r="431">
      <c r="A431" s="40" t="n">
        <v>46348</v>
      </c>
      <c r="B431" s="12" t="inlineStr">
        <is>
          <t>J41427</t>
        </is>
      </c>
      <c r="C431" s="12" t="n">
        <v>11</v>
      </c>
      <c r="D431" s="12" t="inlineStr">
        <is>
          <t>SALES</t>
        </is>
      </c>
      <c r="E431" s="12" t="inlineStr">
        <is>
          <t>Direct Sales</t>
        </is>
      </c>
      <c r="F431" s="12" t="inlineStr">
        <is>
          <t>OPEX</t>
        </is>
      </c>
      <c r="G431" s="12" t="inlineStr">
        <is>
          <t>Operating Expenses</t>
        </is>
      </c>
      <c r="H431" s="12" t="inlineStr">
        <is>
          <t>FINANCE</t>
        </is>
      </c>
      <c r="I431" s="12" t="inlineStr">
        <is>
          <t>Finance Costs</t>
        </is>
      </c>
      <c r="J431" s="13" t="n">
        <v>3106</v>
      </c>
    </row>
    <row r="432">
      <c r="A432" s="40" t="n">
        <v>46346</v>
      </c>
      <c r="B432" s="12" t="inlineStr">
        <is>
          <t>J41428</t>
        </is>
      </c>
      <c r="C432" s="12" t="n">
        <v>11</v>
      </c>
      <c r="D432" s="12" t="inlineStr">
        <is>
          <t>CHANNEL</t>
        </is>
      </c>
      <c r="E432" s="12" t="inlineStr">
        <is>
          <t>Distributor Channel</t>
        </is>
      </c>
      <c r="F432" s="12" t="inlineStr">
        <is>
          <t>OPEX</t>
        </is>
      </c>
      <c r="G432" s="12" t="inlineStr">
        <is>
          <t>Operating Expenses</t>
        </is>
      </c>
      <c r="H432" s="12" t="inlineStr">
        <is>
          <t>FINANCE</t>
        </is>
      </c>
      <c r="I432" s="12" t="inlineStr">
        <is>
          <t>Finance Costs</t>
        </is>
      </c>
      <c r="J432" s="13" t="n">
        <v>2728</v>
      </c>
    </row>
    <row r="433">
      <c r="A433" s="40" t="n">
        <v>46338</v>
      </c>
      <c r="B433" s="12" t="inlineStr">
        <is>
          <t>J41429</t>
        </is>
      </c>
      <c r="C433" s="12" t="n">
        <v>11</v>
      </c>
      <c r="D433" s="12" t="inlineStr">
        <is>
          <t>SERVICE</t>
        </is>
      </c>
      <c r="E433" s="12" t="inlineStr">
        <is>
          <t>Service and Support</t>
        </is>
      </c>
      <c r="F433" s="12" t="inlineStr">
        <is>
          <t>OPEX</t>
        </is>
      </c>
      <c r="G433" s="12" t="inlineStr">
        <is>
          <t>Operating Expenses</t>
        </is>
      </c>
      <c r="H433" s="12" t="inlineStr">
        <is>
          <t>FINANCE</t>
        </is>
      </c>
      <c r="I433" s="12" t="inlineStr">
        <is>
          <t>Finance Costs</t>
        </is>
      </c>
      <c r="J433" s="13" t="n">
        <v>2611</v>
      </c>
    </row>
    <row r="434">
      <c r="A434" s="40" t="n">
        <v>46369</v>
      </c>
      <c r="B434" s="12" t="inlineStr">
        <is>
          <t>J41430</t>
        </is>
      </c>
      <c r="C434" s="12" t="n">
        <v>12</v>
      </c>
      <c r="D434" s="12" t="inlineStr">
        <is>
          <t>SALES</t>
        </is>
      </c>
      <c r="E434" s="12" t="inlineStr">
        <is>
          <t>Direct Sales</t>
        </is>
      </c>
      <c r="F434" s="12" t="inlineStr">
        <is>
          <t>REVENUE</t>
        </is>
      </c>
      <c r="G434" s="12" t="inlineStr">
        <is>
          <t>Revenue</t>
        </is>
      </c>
      <c r="H434" s="12" t="inlineStr">
        <is>
          <t>REVENUE_PROD</t>
        </is>
      </c>
      <c r="I434" s="12" t="inlineStr">
        <is>
          <t>Product Revenue</t>
        </is>
      </c>
      <c r="J434" s="13" t="n">
        <v>662337</v>
      </c>
    </row>
    <row r="435">
      <c r="A435" s="40" t="n">
        <v>46379</v>
      </c>
      <c r="B435" s="12" t="inlineStr">
        <is>
          <t>J41431</t>
        </is>
      </c>
      <c r="C435" s="12" t="n">
        <v>12</v>
      </c>
      <c r="D435" s="12" t="inlineStr">
        <is>
          <t>CHANNEL</t>
        </is>
      </c>
      <c r="E435" s="12" t="inlineStr">
        <is>
          <t>Distributor Channel</t>
        </is>
      </c>
      <c r="F435" s="12" t="inlineStr">
        <is>
          <t>REVENUE</t>
        </is>
      </c>
      <c r="G435" s="12" t="inlineStr">
        <is>
          <t>Revenue</t>
        </is>
      </c>
      <c r="H435" s="12" t="inlineStr">
        <is>
          <t>REVENUE_PROD</t>
        </is>
      </c>
      <c r="I435" s="12" t="inlineStr">
        <is>
          <t>Product Revenue</t>
        </is>
      </c>
      <c r="J435" s="13" t="n">
        <v>375428</v>
      </c>
    </row>
    <row r="436">
      <c r="A436" s="40" t="n">
        <v>46371</v>
      </c>
      <c r="B436" s="12" t="inlineStr">
        <is>
          <t>J41432</t>
        </is>
      </c>
      <c r="C436" s="12" t="n">
        <v>12</v>
      </c>
      <c r="D436" s="12" t="inlineStr">
        <is>
          <t>SERVICE</t>
        </is>
      </c>
      <c r="E436" s="12" t="inlineStr">
        <is>
          <t>Service and Support</t>
        </is>
      </c>
      <c r="F436" s="12" t="inlineStr">
        <is>
          <t>REVENUE</t>
        </is>
      </c>
      <c r="G436" s="12" t="inlineStr">
        <is>
          <t>Revenue</t>
        </is>
      </c>
      <c r="H436" s="12" t="inlineStr">
        <is>
          <t>REVENUE_PROD</t>
        </is>
      </c>
      <c r="I436" s="12" t="inlineStr">
        <is>
          <t>Product Revenue</t>
        </is>
      </c>
      <c r="J436" s="13" t="n">
        <v>183440</v>
      </c>
    </row>
    <row r="437">
      <c r="A437" s="40" t="n">
        <v>46375</v>
      </c>
      <c r="B437" s="12" t="inlineStr">
        <is>
          <t>J41433</t>
        </is>
      </c>
      <c r="C437" s="12" t="n">
        <v>12</v>
      </c>
      <c r="D437" s="12" t="inlineStr">
        <is>
          <t>SALES</t>
        </is>
      </c>
      <c r="E437" s="12" t="inlineStr">
        <is>
          <t>Direct Sales</t>
        </is>
      </c>
      <c r="F437" s="12" t="inlineStr">
        <is>
          <t>REVENUE</t>
        </is>
      </c>
      <c r="G437" s="12" t="inlineStr">
        <is>
          <t>Revenue</t>
        </is>
      </c>
      <c r="H437" s="12" t="inlineStr">
        <is>
          <t>REVENUE_SVC</t>
        </is>
      </c>
      <c r="I437" s="12" t="inlineStr">
        <is>
          <t>Service Revenue</t>
        </is>
      </c>
      <c r="J437" s="13" t="n">
        <v>6399</v>
      </c>
    </row>
    <row r="438">
      <c r="A438" s="40" t="n">
        <v>46359</v>
      </c>
      <c r="B438" s="12" t="inlineStr">
        <is>
          <t>J41434</t>
        </is>
      </c>
      <c r="C438" s="12" t="n">
        <v>12</v>
      </c>
      <c r="D438" s="12" t="inlineStr">
        <is>
          <t>CHANNEL</t>
        </is>
      </c>
      <c r="E438" s="12" t="inlineStr">
        <is>
          <t>Distributor Channel</t>
        </is>
      </c>
      <c r="F438" s="12" t="inlineStr">
        <is>
          <t>REVENUE</t>
        </is>
      </c>
      <c r="G438" s="12" t="inlineStr">
        <is>
          <t>Revenue</t>
        </is>
      </c>
      <c r="H438" s="12" t="inlineStr">
        <is>
          <t>REVENUE_SVC</t>
        </is>
      </c>
      <c r="I438" s="12" t="inlineStr">
        <is>
          <t>Service Revenue</t>
        </is>
      </c>
      <c r="J438" s="13" t="n">
        <v>6339</v>
      </c>
    </row>
    <row r="439">
      <c r="A439" s="40" t="n">
        <v>46375</v>
      </c>
      <c r="B439" s="12" t="inlineStr">
        <is>
          <t>J41435</t>
        </is>
      </c>
      <c r="C439" s="12" t="n">
        <v>12</v>
      </c>
      <c r="D439" s="12" t="inlineStr">
        <is>
          <t>SERVICE</t>
        </is>
      </c>
      <c r="E439" s="12" t="inlineStr">
        <is>
          <t>Service and Support</t>
        </is>
      </c>
      <c r="F439" s="12" t="inlineStr">
        <is>
          <t>REVENUE</t>
        </is>
      </c>
      <c r="G439" s="12" t="inlineStr">
        <is>
          <t>Revenue</t>
        </is>
      </c>
      <c r="H439" s="12" t="inlineStr">
        <is>
          <t>REVENUE_SVC</t>
        </is>
      </c>
      <c r="I439" s="12" t="inlineStr">
        <is>
          <t>Service Revenue</t>
        </is>
      </c>
      <c r="J439" s="13" t="n">
        <v>109097</v>
      </c>
    </row>
    <row r="440">
      <c r="A440" s="40" t="n">
        <v>46369</v>
      </c>
      <c r="B440" s="12" t="inlineStr">
        <is>
          <t>J41436</t>
        </is>
      </c>
      <c r="C440" s="12" t="n">
        <v>12</v>
      </c>
      <c r="D440" s="12" t="inlineStr">
        <is>
          <t>SALES</t>
        </is>
      </c>
      <c r="E440" s="12" t="inlineStr">
        <is>
          <t>Direct Sales</t>
        </is>
      </c>
      <c r="F440" s="12" t="inlineStr">
        <is>
          <t>COGS</t>
        </is>
      </c>
      <c r="G440" s="12" t="inlineStr">
        <is>
          <t>Cost of Sales</t>
        </is>
      </c>
      <c r="H440" s="12" t="inlineStr">
        <is>
          <t>COGS</t>
        </is>
      </c>
      <c r="I440" s="12" t="inlineStr">
        <is>
          <t>Cost of Goods Sold</t>
        </is>
      </c>
      <c r="J440" s="13" t="n">
        <v>484076</v>
      </c>
    </row>
    <row r="441">
      <c r="A441" s="40" t="n">
        <v>46378</v>
      </c>
      <c r="B441" s="12" t="inlineStr">
        <is>
          <t>J41437</t>
        </is>
      </c>
      <c r="C441" s="12" t="n">
        <v>12</v>
      </c>
      <c r="D441" s="12" t="inlineStr">
        <is>
          <t>CHANNEL</t>
        </is>
      </c>
      <c r="E441" s="12" t="inlineStr">
        <is>
          <t>Distributor Channel</t>
        </is>
      </c>
      <c r="F441" s="12" t="inlineStr">
        <is>
          <t>COGS</t>
        </is>
      </c>
      <c r="G441" s="12" t="inlineStr">
        <is>
          <t>Cost of Sales</t>
        </is>
      </c>
      <c r="H441" s="12" t="inlineStr">
        <is>
          <t>COGS</t>
        </is>
      </c>
      <c r="I441" s="12" t="inlineStr">
        <is>
          <t>Cost of Goods Sold</t>
        </is>
      </c>
      <c r="J441" s="13" t="n">
        <v>263494</v>
      </c>
    </row>
    <row r="442">
      <c r="A442" s="40" t="n">
        <v>46379</v>
      </c>
      <c r="B442" s="12" t="inlineStr">
        <is>
          <t>J41438</t>
        </is>
      </c>
      <c r="C442" s="12" t="n">
        <v>12</v>
      </c>
      <c r="D442" s="12" t="inlineStr">
        <is>
          <t>SERVICE</t>
        </is>
      </c>
      <c r="E442" s="12" t="inlineStr">
        <is>
          <t>Service and Support</t>
        </is>
      </c>
      <c r="F442" s="12" t="inlineStr">
        <is>
          <t>COGS</t>
        </is>
      </c>
      <c r="G442" s="12" t="inlineStr">
        <is>
          <t>Cost of Sales</t>
        </is>
      </c>
      <c r="H442" s="12" t="inlineStr">
        <is>
          <t>COGS</t>
        </is>
      </c>
      <c r="I442" s="12" t="inlineStr">
        <is>
          <t>Cost of Goods Sold</t>
        </is>
      </c>
      <c r="J442" s="13" t="n">
        <v>139480</v>
      </c>
    </row>
    <row r="443">
      <c r="A443" s="40" t="n">
        <v>46360</v>
      </c>
      <c r="B443" s="12" t="inlineStr">
        <is>
          <t>J41439</t>
        </is>
      </c>
      <c r="C443" s="12" t="n">
        <v>12</v>
      </c>
      <c r="D443" s="12" t="inlineStr">
        <is>
          <t>SALES</t>
        </is>
      </c>
      <c r="E443" s="12" t="inlineStr">
        <is>
          <t>Direct Sales</t>
        </is>
      </c>
      <c r="F443" s="12" t="inlineStr">
        <is>
          <t>OPEX</t>
        </is>
      </c>
      <c r="G443" s="12" t="inlineStr">
        <is>
          <t>Operating Expenses</t>
        </is>
      </c>
      <c r="H443" s="12" t="inlineStr">
        <is>
          <t>SALARY</t>
        </is>
      </c>
      <c r="I443" s="12" t="inlineStr">
        <is>
          <t>Payroll</t>
        </is>
      </c>
      <c r="J443" s="13" t="n">
        <v>110733</v>
      </c>
    </row>
    <row r="444">
      <c r="A444" s="40" t="n">
        <v>46382</v>
      </c>
      <c r="B444" s="12" t="inlineStr">
        <is>
          <t>J41440</t>
        </is>
      </c>
      <c r="C444" s="12" t="n">
        <v>12</v>
      </c>
      <c r="D444" s="12" t="inlineStr">
        <is>
          <t>CHANNEL</t>
        </is>
      </c>
      <c r="E444" s="12" t="inlineStr">
        <is>
          <t>Distributor Channel</t>
        </is>
      </c>
      <c r="F444" s="12" t="inlineStr">
        <is>
          <t>OPEX</t>
        </is>
      </c>
      <c r="G444" s="12" t="inlineStr">
        <is>
          <t>Operating Expenses</t>
        </is>
      </c>
      <c r="H444" s="12" t="inlineStr">
        <is>
          <t>SALARY</t>
        </is>
      </c>
      <c r="I444" s="12" t="inlineStr">
        <is>
          <t>Payroll</t>
        </is>
      </c>
      <c r="J444" s="13" t="n">
        <v>64673</v>
      </c>
    </row>
    <row r="445">
      <c r="A445" s="40" t="n">
        <v>46383</v>
      </c>
      <c r="B445" s="12" t="inlineStr">
        <is>
          <t>J41441</t>
        </is>
      </c>
      <c r="C445" s="12" t="n">
        <v>12</v>
      </c>
      <c r="D445" s="12" t="inlineStr">
        <is>
          <t>SERVICE</t>
        </is>
      </c>
      <c r="E445" s="12" t="inlineStr">
        <is>
          <t>Service and Support</t>
        </is>
      </c>
      <c r="F445" s="12" t="inlineStr">
        <is>
          <t>OPEX</t>
        </is>
      </c>
      <c r="G445" s="12" t="inlineStr">
        <is>
          <t>Operating Expenses</t>
        </is>
      </c>
      <c r="H445" s="12" t="inlineStr">
        <is>
          <t>SALARY</t>
        </is>
      </c>
      <c r="I445" s="12" t="inlineStr">
        <is>
          <t>Payroll</t>
        </is>
      </c>
      <c r="J445" s="13" t="n">
        <v>32556</v>
      </c>
    </row>
    <row r="446">
      <c r="A446" s="40" t="n">
        <v>46376</v>
      </c>
      <c r="B446" s="12" t="inlineStr">
        <is>
          <t>J41442</t>
        </is>
      </c>
      <c r="C446" s="12" t="n">
        <v>12</v>
      </c>
      <c r="D446" s="12" t="inlineStr">
        <is>
          <t>SALES</t>
        </is>
      </c>
      <c r="E446" s="12" t="inlineStr">
        <is>
          <t>Direct Sales</t>
        </is>
      </c>
      <c r="F446" s="12" t="inlineStr">
        <is>
          <t>OPEX</t>
        </is>
      </c>
      <c r="G446" s="12" t="inlineStr">
        <is>
          <t>Operating Expenses</t>
        </is>
      </c>
      <c r="H446" s="12" t="inlineStr">
        <is>
          <t>RENT</t>
        </is>
      </c>
      <c r="I446" s="12" t="inlineStr">
        <is>
          <t>Rent and Facilities</t>
        </is>
      </c>
      <c r="J446" s="13" t="n">
        <v>13024</v>
      </c>
    </row>
    <row r="447">
      <c r="A447" s="40" t="n">
        <v>46372</v>
      </c>
      <c r="B447" s="12" t="inlineStr">
        <is>
          <t>J41443</t>
        </is>
      </c>
      <c r="C447" s="12" t="n">
        <v>12</v>
      </c>
      <c r="D447" s="12" t="inlineStr">
        <is>
          <t>CHANNEL</t>
        </is>
      </c>
      <c r="E447" s="12" t="inlineStr">
        <is>
          <t>Distributor Channel</t>
        </is>
      </c>
      <c r="F447" s="12" t="inlineStr">
        <is>
          <t>OPEX</t>
        </is>
      </c>
      <c r="G447" s="12" t="inlineStr">
        <is>
          <t>Operating Expenses</t>
        </is>
      </c>
      <c r="H447" s="12" t="inlineStr">
        <is>
          <t>RENT</t>
        </is>
      </c>
      <c r="I447" s="12" t="inlineStr">
        <is>
          <t>Rent and Facilities</t>
        </is>
      </c>
      <c r="J447" s="13" t="n">
        <v>13531</v>
      </c>
    </row>
    <row r="448">
      <c r="A448" s="40" t="n">
        <v>46371</v>
      </c>
      <c r="B448" s="12" t="inlineStr">
        <is>
          <t>J41444</t>
        </is>
      </c>
      <c r="C448" s="12" t="n">
        <v>12</v>
      </c>
      <c r="D448" s="12" t="inlineStr">
        <is>
          <t>SERVICE</t>
        </is>
      </c>
      <c r="E448" s="12" t="inlineStr">
        <is>
          <t>Service and Support</t>
        </is>
      </c>
      <c r="F448" s="12" t="inlineStr">
        <is>
          <t>OPEX</t>
        </is>
      </c>
      <c r="G448" s="12" t="inlineStr">
        <is>
          <t>Operating Expenses</t>
        </is>
      </c>
      <c r="H448" s="12" t="inlineStr">
        <is>
          <t>RENT</t>
        </is>
      </c>
      <c r="I448" s="12" t="inlineStr">
        <is>
          <t>Rent and Facilities</t>
        </is>
      </c>
      <c r="J448" s="13" t="n">
        <v>13454</v>
      </c>
    </row>
    <row r="449">
      <c r="A449" s="40" t="n">
        <v>46366</v>
      </c>
      <c r="B449" s="12" t="inlineStr">
        <is>
          <t>J41445</t>
        </is>
      </c>
      <c r="C449" s="12" t="n">
        <v>12</v>
      </c>
      <c r="D449" s="12" t="inlineStr">
        <is>
          <t>SALES</t>
        </is>
      </c>
      <c r="E449" s="12" t="inlineStr">
        <is>
          <t>Direct Sales</t>
        </is>
      </c>
      <c r="F449" s="12" t="inlineStr">
        <is>
          <t>OPEX</t>
        </is>
      </c>
      <c r="G449" s="12" t="inlineStr">
        <is>
          <t>Operating Expenses</t>
        </is>
      </c>
      <c r="H449" s="12" t="inlineStr">
        <is>
          <t>VEHICLE</t>
        </is>
      </c>
      <c r="I449" s="12" t="inlineStr">
        <is>
          <t>Vehicle</t>
        </is>
      </c>
      <c r="J449" s="13" t="n">
        <v>14484</v>
      </c>
    </row>
    <row r="450">
      <c r="A450" s="40" t="n">
        <v>46372</v>
      </c>
      <c r="B450" s="12" t="inlineStr">
        <is>
          <t>J41446</t>
        </is>
      </c>
      <c r="C450" s="12" t="n">
        <v>12</v>
      </c>
      <c r="D450" s="12" t="inlineStr">
        <is>
          <t>CHANNEL</t>
        </is>
      </c>
      <c r="E450" s="12" t="inlineStr">
        <is>
          <t>Distributor Channel</t>
        </is>
      </c>
      <c r="F450" s="12" t="inlineStr">
        <is>
          <t>OPEX</t>
        </is>
      </c>
      <c r="G450" s="12" t="inlineStr">
        <is>
          <t>Operating Expenses</t>
        </is>
      </c>
      <c r="H450" s="12" t="inlineStr">
        <is>
          <t>VEHICLE</t>
        </is>
      </c>
      <c r="I450" s="12" t="inlineStr">
        <is>
          <t>Vehicle</t>
        </is>
      </c>
      <c r="J450" s="13" t="n">
        <v>8098</v>
      </c>
    </row>
    <row r="451">
      <c r="A451" s="40" t="n">
        <v>46383</v>
      </c>
      <c r="B451" s="12" t="inlineStr">
        <is>
          <t>J41447</t>
        </is>
      </c>
      <c r="C451" s="12" t="n">
        <v>12</v>
      </c>
      <c r="D451" s="12" t="inlineStr">
        <is>
          <t>SERVICE</t>
        </is>
      </c>
      <c r="E451" s="12" t="inlineStr">
        <is>
          <t>Service and Support</t>
        </is>
      </c>
      <c r="F451" s="12" t="inlineStr">
        <is>
          <t>OPEX</t>
        </is>
      </c>
      <c r="G451" s="12" t="inlineStr">
        <is>
          <t>Operating Expenses</t>
        </is>
      </c>
      <c r="H451" s="12" t="inlineStr">
        <is>
          <t>VEHICLE</t>
        </is>
      </c>
      <c r="I451" s="12" t="inlineStr">
        <is>
          <t>Vehicle</t>
        </is>
      </c>
      <c r="J451" s="13" t="n">
        <v>3902</v>
      </c>
    </row>
    <row r="452">
      <c r="A452" s="40" t="n">
        <v>46374</v>
      </c>
      <c r="B452" s="12" t="inlineStr">
        <is>
          <t>J41448</t>
        </is>
      </c>
      <c r="C452" s="12" t="n">
        <v>12</v>
      </c>
      <c r="D452" s="12" t="inlineStr">
        <is>
          <t>SALES</t>
        </is>
      </c>
      <c r="E452" s="12" t="inlineStr">
        <is>
          <t>Direct Sales</t>
        </is>
      </c>
      <c r="F452" s="12" t="inlineStr">
        <is>
          <t>OPEX</t>
        </is>
      </c>
      <c r="G452" s="12" t="inlineStr">
        <is>
          <t>Operating Expenses</t>
        </is>
      </c>
      <c r="H452" s="12" t="inlineStr">
        <is>
          <t>MARKETING</t>
        </is>
      </c>
      <c r="I452" s="12" t="inlineStr">
        <is>
          <t>Marketing</t>
        </is>
      </c>
      <c r="J452" s="13" t="n">
        <v>25460</v>
      </c>
    </row>
    <row r="453">
      <c r="A453" s="40" t="n">
        <v>46365</v>
      </c>
      <c r="B453" s="12" t="inlineStr">
        <is>
          <t>J41449</t>
        </is>
      </c>
      <c r="C453" s="12" t="n">
        <v>12</v>
      </c>
      <c r="D453" s="12" t="inlineStr">
        <is>
          <t>CHANNEL</t>
        </is>
      </c>
      <c r="E453" s="12" t="inlineStr">
        <is>
          <t>Distributor Channel</t>
        </is>
      </c>
      <c r="F453" s="12" t="inlineStr">
        <is>
          <t>OPEX</t>
        </is>
      </c>
      <c r="G453" s="12" t="inlineStr">
        <is>
          <t>Operating Expenses</t>
        </is>
      </c>
      <c r="H453" s="12" t="inlineStr">
        <is>
          <t>MARKETING</t>
        </is>
      </c>
      <c r="I453" s="12" t="inlineStr">
        <is>
          <t>Marketing</t>
        </is>
      </c>
      <c r="J453" s="13" t="n">
        <v>13189</v>
      </c>
    </row>
    <row r="454">
      <c r="A454" s="40" t="n">
        <v>46383</v>
      </c>
      <c r="B454" s="12" t="inlineStr">
        <is>
          <t>J41450</t>
        </is>
      </c>
      <c r="C454" s="12" t="n">
        <v>12</v>
      </c>
      <c r="D454" s="12" t="inlineStr">
        <is>
          <t>SERVICE</t>
        </is>
      </c>
      <c r="E454" s="12" t="inlineStr">
        <is>
          <t>Service and Support</t>
        </is>
      </c>
      <c r="F454" s="12" t="inlineStr">
        <is>
          <t>OPEX</t>
        </is>
      </c>
      <c r="G454" s="12" t="inlineStr">
        <is>
          <t>Operating Expenses</t>
        </is>
      </c>
      <c r="H454" s="12" t="inlineStr">
        <is>
          <t>MARKETING</t>
        </is>
      </c>
      <c r="I454" s="12" t="inlineStr">
        <is>
          <t>Marketing</t>
        </is>
      </c>
      <c r="J454" s="13" t="n">
        <v>7187</v>
      </c>
    </row>
    <row r="455">
      <c r="A455" s="40" t="n">
        <v>46367</v>
      </c>
      <c r="B455" s="12" t="inlineStr">
        <is>
          <t>J41451</t>
        </is>
      </c>
      <c r="C455" s="12" t="n">
        <v>12</v>
      </c>
      <c r="D455" s="12" t="inlineStr">
        <is>
          <t>SALES</t>
        </is>
      </c>
      <c r="E455" s="12" t="inlineStr">
        <is>
          <t>Direct Sales</t>
        </is>
      </c>
      <c r="F455" s="12" t="inlineStr">
        <is>
          <t>OPEX</t>
        </is>
      </c>
      <c r="G455" s="12" t="inlineStr">
        <is>
          <t>Operating Expenses</t>
        </is>
      </c>
      <c r="H455" s="12" t="inlineStr">
        <is>
          <t>ENTERTAIN</t>
        </is>
      </c>
      <c r="I455" s="12" t="inlineStr">
        <is>
          <t>Entertainment</t>
        </is>
      </c>
      <c r="J455" s="13" t="n">
        <v>3490</v>
      </c>
    </row>
    <row r="456">
      <c r="A456" s="40" t="n">
        <v>46379</v>
      </c>
      <c r="B456" s="12" t="inlineStr">
        <is>
          <t>J41452</t>
        </is>
      </c>
      <c r="C456" s="12" t="n">
        <v>12</v>
      </c>
      <c r="D456" s="12" t="inlineStr">
        <is>
          <t>CHANNEL</t>
        </is>
      </c>
      <c r="E456" s="12" t="inlineStr">
        <is>
          <t>Distributor Channel</t>
        </is>
      </c>
      <c r="F456" s="12" t="inlineStr">
        <is>
          <t>OPEX</t>
        </is>
      </c>
      <c r="G456" s="12" t="inlineStr">
        <is>
          <t>Operating Expenses</t>
        </is>
      </c>
      <c r="H456" s="12" t="inlineStr">
        <is>
          <t>ENTERTAIN</t>
        </is>
      </c>
      <c r="I456" s="12" t="inlineStr">
        <is>
          <t>Entertainment</t>
        </is>
      </c>
      <c r="J456" s="13" t="n">
        <v>1710</v>
      </c>
    </row>
    <row r="457">
      <c r="A457" s="40" t="n">
        <v>46379</v>
      </c>
      <c r="B457" s="12" t="inlineStr">
        <is>
          <t>J41453</t>
        </is>
      </c>
      <c r="C457" s="12" t="n">
        <v>12</v>
      </c>
      <c r="D457" s="12" t="inlineStr">
        <is>
          <t>SERVICE</t>
        </is>
      </c>
      <c r="E457" s="12" t="inlineStr">
        <is>
          <t>Service and Support</t>
        </is>
      </c>
      <c r="F457" s="12" t="inlineStr">
        <is>
          <t>OPEX</t>
        </is>
      </c>
      <c r="G457" s="12" t="inlineStr">
        <is>
          <t>Operating Expenses</t>
        </is>
      </c>
      <c r="H457" s="12" t="inlineStr">
        <is>
          <t>ENTERTAIN</t>
        </is>
      </c>
      <c r="I457" s="12" t="inlineStr">
        <is>
          <t>Entertainment</t>
        </is>
      </c>
      <c r="J457" s="13" t="n">
        <v>919</v>
      </c>
    </row>
    <row r="458">
      <c r="A458" s="40" t="n">
        <v>46366</v>
      </c>
      <c r="B458" s="12" t="inlineStr">
        <is>
          <t>J41454</t>
        </is>
      </c>
      <c r="C458" s="12" t="n">
        <v>12</v>
      </c>
      <c r="D458" s="12" t="inlineStr">
        <is>
          <t>SALES</t>
        </is>
      </c>
      <c r="E458" s="12" t="inlineStr">
        <is>
          <t>Direct Sales</t>
        </is>
      </c>
      <c r="F458" s="12" t="inlineStr">
        <is>
          <t>OPEX</t>
        </is>
      </c>
      <c r="G458" s="12" t="inlineStr">
        <is>
          <t>Operating Expenses</t>
        </is>
      </c>
      <c r="H458" s="12" t="inlineStr">
        <is>
          <t>OFFICE</t>
        </is>
      </c>
      <c r="I458" s="12" t="inlineStr">
        <is>
          <t>Office</t>
        </is>
      </c>
      <c r="J458" s="13" t="n">
        <v>6884</v>
      </c>
    </row>
    <row r="459">
      <c r="A459" s="40" t="n">
        <v>46379</v>
      </c>
      <c r="B459" s="12" t="inlineStr">
        <is>
          <t>J41455</t>
        </is>
      </c>
      <c r="C459" s="12" t="n">
        <v>12</v>
      </c>
      <c r="D459" s="12" t="inlineStr">
        <is>
          <t>CHANNEL</t>
        </is>
      </c>
      <c r="E459" s="12" t="inlineStr">
        <is>
          <t>Distributor Channel</t>
        </is>
      </c>
      <c r="F459" s="12" t="inlineStr">
        <is>
          <t>OPEX</t>
        </is>
      </c>
      <c r="G459" s="12" t="inlineStr">
        <is>
          <t>Operating Expenses</t>
        </is>
      </c>
      <c r="H459" s="12" t="inlineStr">
        <is>
          <t>OFFICE</t>
        </is>
      </c>
      <c r="I459" s="12" t="inlineStr">
        <is>
          <t>Office</t>
        </is>
      </c>
      <c r="J459" s="13" t="n">
        <v>4140</v>
      </c>
    </row>
    <row r="460">
      <c r="A460" s="40" t="n">
        <v>46369</v>
      </c>
      <c r="B460" s="12" t="inlineStr">
        <is>
          <t>J41456</t>
        </is>
      </c>
      <c r="C460" s="12" t="n">
        <v>12</v>
      </c>
      <c r="D460" s="12" t="inlineStr">
        <is>
          <t>SERVICE</t>
        </is>
      </c>
      <c r="E460" s="12" t="inlineStr">
        <is>
          <t>Service and Support</t>
        </is>
      </c>
      <c r="F460" s="12" t="inlineStr">
        <is>
          <t>OPEX</t>
        </is>
      </c>
      <c r="G460" s="12" t="inlineStr">
        <is>
          <t>Operating Expenses</t>
        </is>
      </c>
      <c r="H460" s="12" t="inlineStr">
        <is>
          <t>OFFICE</t>
        </is>
      </c>
      <c r="I460" s="12" t="inlineStr">
        <is>
          <t>Office</t>
        </is>
      </c>
      <c r="J460" s="13" t="n">
        <v>1914</v>
      </c>
    </row>
    <row r="461">
      <c r="A461" s="40" t="n">
        <v>46367</v>
      </c>
      <c r="B461" s="12" t="inlineStr">
        <is>
          <t>J41457</t>
        </is>
      </c>
      <c r="C461" s="12" t="n">
        <v>12</v>
      </c>
      <c r="D461" s="12" t="inlineStr">
        <is>
          <t>SALES</t>
        </is>
      </c>
      <c r="E461" s="12" t="inlineStr">
        <is>
          <t>Direct Sales</t>
        </is>
      </c>
      <c r="F461" s="12" t="inlineStr">
        <is>
          <t>OPEX</t>
        </is>
      </c>
      <c r="G461" s="12" t="inlineStr">
        <is>
          <t>Operating Expenses</t>
        </is>
      </c>
      <c r="H461" s="12" t="inlineStr">
        <is>
          <t>MERCHANT</t>
        </is>
      </c>
      <c r="I461" s="12" t="inlineStr">
        <is>
          <t>Merchant Fees</t>
        </is>
      </c>
      <c r="J461" s="13" t="n">
        <v>8098</v>
      </c>
    </row>
    <row r="462">
      <c r="A462" s="40" t="n">
        <v>46381</v>
      </c>
      <c r="B462" s="12" t="inlineStr">
        <is>
          <t>J41458</t>
        </is>
      </c>
      <c r="C462" s="12" t="n">
        <v>12</v>
      </c>
      <c r="D462" s="12" t="inlineStr">
        <is>
          <t>CHANNEL</t>
        </is>
      </c>
      <c r="E462" s="12" t="inlineStr">
        <is>
          <t>Distributor Channel</t>
        </is>
      </c>
      <c r="F462" s="12" t="inlineStr">
        <is>
          <t>OPEX</t>
        </is>
      </c>
      <c r="G462" s="12" t="inlineStr">
        <is>
          <t>Operating Expenses</t>
        </is>
      </c>
      <c r="H462" s="12" t="inlineStr">
        <is>
          <t>MERCHANT</t>
        </is>
      </c>
      <c r="I462" s="12" t="inlineStr">
        <is>
          <t>Merchant Fees</t>
        </is>
      </c>
      <c r="J462" s="13" t="n">
        <v>5052</v>
      </c>
    </row>
    <row r="463">
      <c r="A463" s="40" t="n">
        <v>46358</v>
      </c>
      <c r="B463" s="12" t="inlineStr">
        <is>
          <t>J41459</t>
        </is>
      </c>
      <c r="C463" s="12" t="n">
        <v>12</v>
      </c>
      <c r="D463" s="12" t="inlineStr">
        <is>
          <t>SERVICE</t>
        </is>
      </c>
      <c r="E463" s="12" t="inlineStr">
        <is>
          <t>Service and Support</t>
        </is>
      </c>
      <c r="F463" s="12" t="inlineStr">
        <is>
          <t>OPEX</t>
        </is>
      </c>
      <c r="G463" s="12" t="inlineStr">
        <is>
          <t>Operating Expenses</t>
        </is>
      </c>
      <c r="H463" s="12" t="inlineStr">
        <is>
          <t>MERCHANT</t>
        </is>
      </c>
      <c r="I463" s="12" t="inlineStr">
        <is>
          <t>Merchant Fees</t>
        </is>
      </c>
      <c r="J463" s="13" t="n">
        <v>2269</v>
      </c>
    </row>
    <row r="464">
      <c r="A464" s="40" t="n">
        <v>46364</v>
      </c>
      <c r="B464" s="12" t="inlineStr">
        <is>
          <t>J41460</t>
        </is>
      </c>
      <c r="C464" s="12" t="n">
        <v>12</v>
      </c>
      <c r="D464" s="12" t="inlineStr">
        <is>
          <t>SALES</t>
        </is>
      </c>
      <c r="E464" s="12" t="inlineStr">
        <is>
          <t>Direct Sales</t>
        </is>
      </c>
      <c r="F464" s="12" t="inlineStr">
        <is>
          <t>OPEX</t>
        </is>
      </c>
      <c r="G464" s="12" t="inlineStr">
        <is>
          <t>Operating Expenses</t>
        </is>
      </c>
      <c r="H464" s="12" t="inlineStr">
        <is>
          <t>PROFSVC</t>
        </is>
      </c>
      <c r="I464" s="12" t="inlineStr">
        <is>
          <t>Professional Fees</t>
        </is>
      </c>
      <c r="J464" s="13" t="n">
        <v>9999</v>
      </c>
    </row>
    <row r="465">
      <c r="A465" s="40" t="n">
        <v>46373</v>
      </c>
      <c r="B465" s="12" t="inlineStr">
        <is>
          <t>J41461</t>
        </is>
      </c>
      <c r="C465" s="12" t="n">
        <v>12</v>
      </c>
      <c r="D465" s="12" t="inlineStr">
        <is>
          <t>CHANNEL</t>
        </is>
      </c>
      <c r="E465" s="12" t="inlineStr">
        <is>
          <t>Distributor Channel</t>
        </is>
      </c>
      <c r="F465" s="12" t="inlineStr">
        <is>
          <t>OPEX</t>
        </is>
      </c>
      <c r="G465" s="12" t="inlineStr">
        <is>
          <t>Operating Expenses</t>
        </is>
      </c>
      <c r="H465" s="12" t="inlineStr">
        <is>
          <t>PROFSVC</t>
        </is>
      </c>
      <c r="I465" s="12" t="inlineStr">
        <is>
          <t>Professional Fees</t>
        </is>
      </c>
      <c r="J465" s="13" t="n">
        <v>5413</v>
      </c>
    </row>
    <row r="466">
      <c r="A466" s="40" t="n">
        <v>46368</v>
      </c>
      <c r="B466" s="12" t="inlineStr">
        <is>
          <t>J41462</t>
        </is>
      </c>
      <c r="C466" s="12" t="n">
        <v>12</v>
      </c>
      <c r="D466" s="12" t="inlineStr">
        <is>
          <t>SERVICE</t>
        </is>
      </c>
      <c r="E466" s="12" t="inlineStr">
        <is>
          <t>Service and Support</t>
        </is>
      </c>
      <c r="F466" s="12" t="inlineStr">
        <is>
          <t>OPEX</t>
        </is>
      </c>
      <c r="G466" s="12" t="inlineStr">
        <is>
          <t>Operating Expenses</t>
        </is>
      </c>
      <c r="H466" s="12" t="inlineStr">
        <is>
          <t>PROFSVC</t>
        </is>
      </c>
      <c r="I466" s="12" t="inlineStr">
        <is>
          <t>Professional Fees</t>
        </is>
      </c>
      <c r="J466" s="13" t="n">
        <v>2444</v>
      </c>
    </row>
    <row r="467">
      <c r="A467" s="40" t="n">
        <v>46380</v>
      </c>
      <c r="B467" s="12" t="inlineStr">
        <is>
          <t>J41463</t>
        </is>
      </c>
      <c r="C467" s="12" t="n">
        <v>12</v>
      </c>
      <c r="D467" s="12" t="inlineStr">
        <is>
          <t>SALES</t>
        </is>
      </c>
      <c r="E467" s="12" t="inlineStr">
        <is>
          <t>Direct Sales</t>
        </is>
      </c>
      <c r="F467" s="12" t="inlineStr">
        <is>
          <t>OPEX</t>
        </is>
      </c>
      <c r="G467" s="12" t="inlineStr">
        <is>
          <t>Operating Expenses</t>
        </is>
      </c>
      <c r="H467" s="12" t="inlineStr">
        <is>
          <t>DEPREC</t>
        </is>
      </c>
      <c r="I467" s="12" t="inlineStr">
        <is>
          <t>Depreciation</t>
        </is>
      </c>
      <c r="J467" s="13" t="n">
        <v>6495</v>
      </c>
    </row>
    <row r="468">
      <c r="A468" s="40" t="n">
        <v>46366</v>
      </c>
      <c r="B468" s="12" t="inlineStr">
        <is>
          <t>J41464</t>
        </is>
      </c>
      <c r="C468" s="12" t="n">
        <v>12</v>
      </c>
      <c r="D468" s="12" t="inlineStr">
        <is>
          <t>CHANNEL</t>
        </is>
      </c>
      <c r="E468" s="12" t="inlineStr">
        <is>
          <t>Distributor Channel</t>
        </is>
      </c>
      <c r="F468" s="12" t="inlineStr">
        <is>
          <t>OPEX</t>
        </is>
      </c>
      <c r="G468" s="12" t="inlineStr">
        <is>
          <t>Operating Expenses</t>
        </is>
      </c>
      <c r="H468" s="12" t="inlineStr">
        <is>
          <t>DEPREC</t>
        </is>
      </c>
      <c r="I468" s="12" t="inlineStr">
        <is>
          <t>Depreciation</t>
        </is>
      </c>
      <c r="J468" s="13" t="n">
        <v>5625</v>
      </c>
    </row>
    <row r="469">
      <c r="A469" s="40" t="n">
        <v>46363</v>
      </c>
      <c r="B469" s="12" t="inlineStr">
        <is>
          <t>J41465</t>
        </is>
      </c>
      <c r="C469" s="12" t="n">
        <v>12</v>
      </c>
      <c r="D469" s="12" t="inlineStr">
        <is>
          <t>SERVICE</t>
        </is>
      </c>
      <c r="E469" s="12" t="inlineStr">
        <is>
          <t>Service and Support</t>
        </is>
      </c>
      <c r="F469" s="12" t="inlineStr">
        <is>
          <t>OPEX</t>
        </is>
      </c>
      <c r="G469" s="12" t="inlineStr">
        <is>
          <t>Operating Expenses</t>
        </is>
      </c>
      <c r="H469" s="12" t="inlineStr">
        <is>
          <t>DEPREC</t>
        </is>
      </c>
      <c r="I469" s="12" t="inlineStr">
        <is>
          <t>Depreciation</t>
        </is>
      </c>
      <c r="J469" s="13" t="n">
        <v>5699</v>
      </c>
    </row>
    <row r="470">
      <c r="A470" s="40" t="n">
        <v>46372</v>
      </c>
      <c r="B470" s="12" t="inlineStr">
        <is>
          <t>J41466</t>
        </is>
      </c>
      <c r="C470" s="12" t="n">
        <v>12</v>
      </c>
      <c r="D470" s="12" t="inlineStr">
        <is>
          <t>SALES</t>
        </is>
      </c>
      <c r="E470" s="12" t="inlineStr">
        <is>
          <t>Direct Sales</t>
        </is>
      </c>
      <c r="F470" s="12" t="inlineStr">
        <is>
          <t>OPEX</t>
        </is>
      </c>
      <c r="G470" s="12" t="inlineStr">
        <is>
          <t>Operating Expenses</t>
        </is>
      </c>
      <c r="H470" s="12" t="inlineStr">
        <is>
          <t>FINANCE</t>
        </is>
      </c>
      <c r="I470" s="12" t="inlineStr">
        <is>
          <t>Finance Costs</t>
        </is>
      </c>
      <c r="J470" s="13" t="n">
        <v>3273</v>
      </c>
    </row>
    <row r="471">
      <c r="A471" s="40" t="n">
        <v>46377</v>
      </c>
      <c r="B471" s="12" t="inlineStr">
        <is>
          <t>J41467</t>
        </is>
      </c>
      <c r="C471" s="12" t="n">
        <v>12</v>
      </c>
      <c r="D471" s="12" t="inlineStr">
        <is>
          <t>CHANNEL</t>
        </is>
      </c>
      <c r="E471" s="12" t="inlineStr">
        <is>
          <t>Distributor Channel</t>
        </is>
      </c>
      <c r="F471" s="12" t="inlineStr">
        <is>
          <t>OPEX</t>
        </is>
      </c>
      <c r="G471" s="12" t="inlineStr">
        <is>
          <t>Operating Expenses</t>
        </is>
      </c>
      <c r="H471" s="12" t="inlineStr">
        <is>
          <t>FINANCE</t>
        </is>
      </c>
      <c r="I471" s="12" t="inlineStr">
        <is>
          <t>Finance Costs</t>
        </is>
      </c>
      <c r="J471" s="13" t="n">
        <v>3463</v>
      </c>
    </row>
    <row r="472">
      <c r="A472" s="40" t="n">
        <v>46374</v>
      </c>
      <c r="B472" s="12" t="inlineStr">
        <is>
          <t>J41468</t>
        </is>
      </c>
      <c r="C472" s="12" t="n">
        <v>12</v>
      </c>
      <c r="D472" s="12" t="inlineStr">
        <is>
          <t>SERVICE</t>
        </is>
      </c>
      <c r="E472" s="12" t="inlineStr">
        <is>
          <t>Service and Support</t>
        </is>
      </c>
      <c r="F472" s="12" t="inlineStr">
        <is>
          <t>OPEX</t>
        </is>
      </c>
      <c r="G472" s="12" t="inlineStr">
        <is>
          <t>Operating Expenses</t>
        </is>
      </c>
      <c r="H472" s="12" t="inlineStr">
        <is>
          <t>FINANCE</t>
        </is>
      </c>
      <c r="I472" s="12" t="inlineStr">
        <is>
          <t>Finance Costs</t>
        </is>
      </c>
      <c r="J472" s="13" t="n">
        <v>3315</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9"/>
  <sheetViews>
    <sheetView rightToLeft="1" workbookViewId="0">
      <selection activeCell="A1" sqref="A1"/>
    </sheetView>
  </sheetViews>
  <sheetFormatPr baseColWidth="8" defaultRowHeight="15"/>
  <cols>
    <col width="18" customWidth="1" min="1" max="1"/>
    <col width="16" customWidth="1" min="2" max="2"/>
    <col width="18" customWidth="1" min="3" max="3"/>
    <col width="11" customWidth="1" min="4" max="4"/>
    <col width="46" customWidth="1" min="5" max="5"/>
  </cols>
  <sheetData>
    <row r="1" ht="32" customHeight="1">
      <c r="A1" s="1" t="inlineStr">
        <is>
          <t>Mapping Key · מילת מפתח אל קוד סעיף</t>
        </is>
      </c>
    </row>
    <row r="2" ht="18" customHeight="1">
      <c r="A2" s="2" t="inlineStr">
        <is>
          <t>הסדר קובע. הנוסחה עוצרת במילה הראשונה שנמצאה, ולכן מילה ספציפית חייבת להופיע מעל מילה כללית.</t>
        </is>
      </c>
    </row>
    <row r="4" ht="28" customHeight="1">
      <c r="A4" s="9" t="inlineStr">
        <is>
          <t>Keyword</t>
        </is>
      </c>
      <c r="B4" s="9" t="inlineStr">
        <is>
          <t>Acct</t>
        </is>
      </c>
      <c r="C4" s="9" t="inlineStr">
        <is>
          <t>AcctName</t>
        </is>
      </c>
      <c r="D4" s="9" t="inlineStr">
        <is>
          <t>Grp</t>
        </is>
      </c>
      <c r="E4" s="9" t="inlineStr">
        <is>
          <t>Note</t>
        </is>
      </c>
    </row>
    <row r="5">
      <c r="A5" s="12" t="inlineStr">
        <is>
          <t>PROF FEE</t>
        </is>
      </c>
      <c r="B5" s="12" t="inlineStr">
        <is>
          <t>PROFSVC</t>
        </is>
      </c>
      <c r="C5" s="12" t="inlineStr">
        <is>
          <t>Professional Fees</t>
        </is>
      </c>
      <c r="D5" s="12" t="inlineStr">
        <is>
          <t>OPEX</t>
        </is>
      </c>
      <c r="E5" s="14" t="inlineStr">
        <is>
          <t>חייב להופיע לפני PAYROLL. אחרת שכר טרחה יסווג כמשכורת.</t>
        </is>
      </c>
    </row>
    <row r="6">
      <c r="A6" s="12" t="inlineStr">
        <is>
          <t>AUDITOR</t>
        </is>
      </c>
      <c r="B6" s="12" t="inlineStr">
        <is>
          <t>PROFSVC</t>
        </is>
      </c>
      <c r="C6" s="12" t="inlineStr">
        <is>
          <t>Professional Fees</t>
        </is>
      </c>
      <c r="D6" s="12" t="inlineStr">
        <is>
          <t>OPEX</t>
        </is>
      </c>
      <c r="E6" s="14" t="inlineStr">
        <is>
          <t>מילה ספציפית לפני מילה כללית. הכלל החשוב ביותר בטבלת מיפוי.</t>
        </is>
      </c>
    </row>
    <row r="7">
      <c r="A7" s="12" t="inlineStr">
        <is>
          <t>LAW OFFICE</t>
        </is>
      </c>
      <c r="B7" s="12" t="inlineStr">
        <is>
          <t>PROFSVC</t>
        </is>
      </c>
      <c r="C7" s="12" t="inlineStr">
        <is>
          <t>Professional Fees</t>
        </is>
      </c>
      <c r="D7" s="12" t="inlineStr">
        <is>
          <t>OPEX</t>
        </is>
      </c>
      <c r="E7" s="14" t="inlineStr"/>
    </row>
    <row r="8">
      <c r="A8" s="12" t="inlineStr">
        <is>
          <t>PAYROLL</t>
        </is>
      </c>
      <c r="B8" s="12" t="inlineStr">
        <is>
          <t>SALARY</t>
        </is>
      </c>
      <c r="C8" s="12" t="inlineStr">
        <is>
          <t>Payroll</t>
        </is>
      </c>
      <c r="D8" s="12" t="inlineStr">
        <is>
          <t>OPEX</t>
        </is>
      </c>
      <c r="E8" s="14" t="inlineStr"/>
    </row>
    <row r="9">
      <c r="A9" s="12" t="inlineStr">
        <is>
          <t>SALARY</t>
        </is>
      </c>
      <c r="B9" s="12" t="inlineStr">
        <is>
          <t>SALARY</t>
        </is>
      </c>
      <c r="C9" s="12" t="inlineStr">
        <is>
          <t>Payroll</t>
        </is>
      </c>
      <c r="D9" s="12" t="inlineStr">
        <is>
          <t>OPEX</t>
        </is>
      </c>
      <c r="E9" s="14" t="inlineStr"/>
    </row>
    <row r="10">
      <c r="A10" s="12" t="inlineStr">
        <is>
          <t>SOCIAL SEC</t>
        </is>
      </c>
      <c r="B10" s="12" t="inlineStr">
        <is>
          <t>SALARY</t>
        </is>
      </c>
      <c r="C10" s="12" t="inlineStr">
        <is>
          <t>Payroll</t>
        </is>
      </c>
      <c r="D10" s="12" t="inlineStr">
        <is>
          <t>OPEX</t>
        </is>
      </c>
      <c r="E10" s="14" t="inlineStr"/>
    </row>
    <row r="11">
      <c r="A11" s="12" t="inlineStr">
        <is>
          <t>PENSION</t>
        </is>
      </c>
      <c r="B11" s="12" t="inlineStr">
        <is>
          <t>SALARY</t>
        </is>
      </c>
      <c r="C11" s="12" t="inlineStr">
        <is>
          <t>Payroll</t>
        </is>
      </c>
      <c r="D11" s="12" t="inlineStr">
        <is>
          <t>OPEX</t>
        </is>
      </c>
      <c r="E11" s="14" t="inlineStr"/>
    </row>
    <row r="12">
      <c r="A12" s="12" t="inlineStr">
        <is>
          <t>RENT</t>
        </is>
      </c>
      <c r="B12" s="12" t="inlineStr">
        <is>
          <t>RENT</t>
        </is>
      </c>
      <c r="C12" s="12" t="inlineStr">
        <is>
          <t>Rent and Facilities</t>
        </is>
      </c>
      <c r="D12" s="12" t="inlineStr">
        <is>
          <t>OPEX</t>
        </is>
      </c>
      <c r="E12" s="14" t="inlineStr"/>
    </row>
    <row r="13">
      <c r="A13" s="12" t="inlineStr">
        <is>
          <t>MUNICIPAL</t>
        </is>
      </c>
      <c r="B13" s="12" t="inlineStr">
        <is>
          <t>RENT</t>
        </is>
      </c>
      <c r="C13" s="12" t="inlineStr">
        <is>
          <t>Rent and Facilities</t>
        </is>
      </c>
      <c r="D13" s="12" t="inlineStr">
        <is>
          <t>OPEX</t>
        </is>
      </c>
      <c r="E13" s="14" t="inlineStr"/>
    </row>
    <row r="14">
      <c r="A14" s="12" t="inlineStr">
        <is>
          <t>ELECTRIC</t>
        </is>
      </c>
      <c r="B14" s="12" t="inlineStr">
        <is>
          <t>RENT</t>
        </is>
      </c>
      <c r="C14" s="12" t="inlineStr">
        <is>
          <t>Rent and Facilities</t>
        </is>
      </c>
      <c r="D14" s="12" t="inlineStr">
        <is>
          <t>OPEX</t>
        </is>
      </c>
      <c r="E14" s="14" t="inlineStr"/>
    </row>
    <row r="15">
      <c r="A15" s="12" t="inlineStr">
        <is>
          <t>FUEL</t>
        </is>
      </c>
      <c r="B15" s="12" t="inlineStr">
        <is>
          <t>VEHICLE</t>
        </is>
      </c>
      <c r="C15" s="12" t="inlineStr">
        <is>
          <t>Vehicle</t>
        </is>
      </c>
      <c r="D15" s="12" t="inlineStr">
        <is>
          <t>OPEX</t>
        </is>
      </c>
      <c r="E15" s="14" t="inlineStr"/>
    </row>
    <row r="16">
      <c r="A16" s="12" t="inlineStr">
        <is>
          <t>LEASE</t>
        </is>
      </c>
      <c r="B16" s="12" t="inlineStr">
        <is>
          <t>VEHICLE</t>
        </is>
      </c>
      <c r="C16" s="12" t="inlineStr">
        <is>
          <t>Vehicle</t>
        </is>
      </c>
      <c r="D16" s="12" t="inlineStr">
        <is>
          <t>OPEX</t>
        </is>
      </c>
      <c r="E16" s="14" t="inlineStr"/>
    </row>
    <row r="17">
      <c r="A17" s="12" t="inlineStr">
        <is>
          <t>GARAGE</t>
        </is>
      </c>
      <c r="B17" s="12" t="inlineStr">
        <is>
          <t>VEHICLE</t>
        </is>
      </c>
      <c r="C17" s="12" t="inlineStr">
        <is>
          <t>Vehicle</t>
        </is>
      </c>
      <c r="D17" s="12" t="inlineStr">
        <is>
          <t>OPEX</t>
        </is>
      </c>
      <c r="E17" s="14" t="inlineStr"/>
    </row>
    <row r="18">
      <c r="A18" s="12" t="inlineStr">
        <is>
          <t>TOLL ROAD</t>
        </is>
      </c>
      <c r="B18" s="12" t="inlineStr">
        <is>
          <t>VEHICLE</t>
        </is>
      </c>
      <c r="C18" s="12" t="inlineStr">
        <is>
          <t>Vehicle</t>
        </is>
      </c>
      <c r="D18" s="12" t="inlineStr">
        <is>
          <t>OPEX</t>
        </is>
      </c>
      <c r="E18" s="14" t="inlineStr">
        <is>
          <t>נכנס לסל הרכב לצורך כלל 45% בהתאמה למס.</t>
        </is>
      </c>
    </row>
    <row r="19">
      <c r="A19" s="12" t="inlineStr">
        <is>
          <t>GOOGLE</t>
        </is>
      </c>
      <c r="B19" s="12" t="inlineStr">
        <is>
          <t>MARKETING</t>
        </is>
      </c>
      <c r="C19" s="12" t="inlineStr">
        <is>
          <t>Marketing</t>
        </is>
      </c>
      <c r="D19" s="12" t="inlineStr">
        <is>
          <t>OPEX</t>
        </is>
      </c>
      <c r="E19" s="14" t="inlineStr"/>
    </row>
    <row r="20">
      <c r="A20" s="12" t="inlineStr">
        <is>
          <t>FACEBOOK</t>
        </is>
      </c>
      <c r="B20" s="12" t="inlineStr">
        <is>
          <t>MARKETING</t>
        </is>
      </c>
      <c r="C20" s="12" t="inlineStr">
        <is>
          <t>Marketing</t>
        </is>
      </c>
      <c r="D20" s="12" t="inlineStr">
        <is>
          <t>OPEX</t>
        </is>
      </c>
      <c r="E20" s="14" t="inlineStr"/>
    </row>
    <row r="21">
      <c r="A21" s="12" t="inlineStr">
        <is>
          <t>CAMPAIGN</t>
        </is>
      </c>
      <c r="B21" s="12" t="inlineStr">
        <is>
          <t>MARKETING</t>
        </is>
      </c>
      <c r="C21" s="12" t="inlineStr">
        <is>
          <t>Marketing</t>
        </is>
      </c>
      <c r="D21" s="12" t="inlineStr">
        <is>
          <t>OPEX</t>
        </is>
      </c>
      <c r="E21" s="14" t="inlineStr"/>
    </row>
    <row r="22">
      <c r="A22" s="12" t="inlineStr">
        <is>
          <t>COFFEE</t>
        </is>
      </c>
      <c r="B22" s="12" t="inlineStr">
        <is>
          <t>ENTERTAIN</t>
        </is>
      </c>
      <c r="C22" s="12" t="inlineStr">
        <is>
          <t>Entertainment</t>
        </is>
      </c>
      <c r="D22" s="12" t="inlineStr">
        <is>
          <t>OPEX</t>
        </is>
      </c>
      <c r="E22" s="14" t="inlineStr">
        <is>
          <t>כיבוד במקום העסק, 80% בלבד מוכרים.</t>
        </is>
      </c>
    </row>
    <row r="23">
      <c r="A23" s="12" t="inlineStr">
        <is>
          <t>RESTAURANT</t>
        </is>
      </c>
      <c r="B23" s="12" t="inlineStr">
        <is>
          <t>ENTERTAIN</t>
        </is>
      </c>
      <c r="C23" s="12" t="inlineStr">
        <is>
          <t>Entertainment</t>
        </is>
      </c>
      <c r="D23" s="12" t="inlineStr">
        <is>
          <t>OPEX</t>
        </is>
      </c>
      <c r="E23" s="14" t="inlineStr">
        <is>
          <t>אירוח. בדקו סיווג לפני שמכירים.</t>
        </is>
      </c>
    </row>
    <row r="24">
      <c r="A24" s="12" t="inlineStr">
        <is>
          <t>STATIONERY</t>
        </is>
      </c>
      <c r="B24" s="12" t="inlineStr">
        <is>
          <t>OFFICE</t>
        </is>
      </c>
      <c r="C24" s="12" t="inlineStr">
        <is>
          <t>Office</t>
        </is>
      </c>
      <c r="D24" s="12" t="inlineStr">
        <is>
          <t>OPEX</t>
        </is>
      </c>
      <c r="E24" s="14" t="inlineStr"/>
    </row>
    <row r="25">
      <c r="A25" s="12" t="inlineStr">
        <is>
          <t>POSTAL</t>
        </is>
      </c>
      <c r="B25" s="12" t="inlineStr">
        <is>
          <t>OFFICE</t>
        </is>
      </c>
      <c r="C25" s="12" t="inlineStr">
        <is>
          <t>Office</t>
        </is>
      </c>
      <c r="D25" s="12" t="inlineStr">
        <is>
          <t>OPEX</t>
        </is>
      </c>
      <c r="E25" s="14" t="inlineStr"/>
    </row>
    <row r="26">
      <c r="A26" s="12" t="inlineStr">
        <is>
          <t>CLEARING</t>
        </is>
      </c>
      <c r="B26" s="12" t="inlineStr">
        <is>
          <t>MERCHANT</t>
        </is>
      </c>
      <c r="C26" s="12" t="inlineStr">
        <is>
          <t>Merchant Fees</t>
        </is>
      </c>
      <c r="D26" s="12" t="inlineStr">
        <is>
          <t>OPEX</t>
        </is>
      </c>
      <c r="E26" s="14" t="inlineStr"/>
    </row>
    <row r="27">
      <c r="A27" s="12" t="inlineStr">
        <is>
          <t>CARD FEES</t>
        </is>
      </c>
      <c r="B27" s="12" t="inlineStr">
        <is>
          <t>MERCHANT</t>
        </is>
      </c>
      <c r="C27" s="12" t="inlineStr">
        <is>
          <t>Merchant Fees</t>
        </is>
      </c>
      <c r="D27" s="12" t="inlineStr">
        <is>
          <t>OPEX</t>
        </is>
      </c>
      <c r="E27" s="14" t="inlineStr"/>
    </row>
    <row r="28">
      <c r="A28" s="12" t="inlineStr">
        <is>
          <t>INTEREST</t>
        </is>
      </c>
      <c r="B28" s="12" t="inlineStr">
        <is>
          <t>FINANCE</t>
        </is>
      </c>
      <c r="C28" s="12" t="inlineStr">
        <is>
          <t>Finance Costs</t>
        </is>
      </c>
      <c r="D28" s="12" t="inlineStr">
        <is>
          <t>OPEX</t>
        </is>
      </c>
      <c r="E28" s="14" t="inlineStr"/>
    </row>
    <row r="29">
      <c r="A29" s="12" t="inlineStr">
        <is>
          <t>BANK FEE</t>
        </is>
      </c>
      <c r="B29" s="12" t="inlineStr">
        <is>
          <t>FINANCE</t>
        </is>
      </c>
      <c r="C29" s="12" t="inlineStr">
        <is>
          <t>Finance Costs</t>
        </is>
      </c>
      <c r="D29" s="12" t="inlineStr">
        <is>
          <t>OPEX</t>
        </is>
      </c>
      <c r="E29" s="14" t="inlineStr"/>
    </row>
    <row r="30">
      <c r="A30" s="12" t="inlineStr">
        <is>
          <t>SUPPLIER</t>
        </is>
      </c>
      <c r="B30" s="12" t="inlineStr">
        <is>
          <t>COGS</t>
        </is>
      </c>
      <c r="C30" s="12" t="inlineStr">
        <is>
          <t>Cost of Goods Sold</t>
        </is>
      </c>
      <c r="D30" s="12" t="inlineStr">
        <is>
          <t>COGS</t>
        </is>
      </c>
      <c r="E30" s="14" t="inlineStr"/>
    </row>
    <row r="31">
      <c r="A31" s="12" t="inlineStr">
        <is>
          <t>IMPORT</t>
        </is>
      </c>
      <c r="B31" s="12" t="inlineStr">
        <is>
          <t>COGS</t>
        </is>
      </c>
      <c r="C31" s="12" t="inlineStr">
        <is>
          <t>Cost of Goods Sold</t>
        </is>
      </c>
      <c r="D31" s="12" t="inlineStr">
        <is>
          <t>COGS</t>
        </is>
      </c>
      <c r="E31" s="14" t="inlineStr"/>
    </row>
    <row r="32">
      <c r="A32" s="12" t="inlineStr">
        <is>
          <t>CUSTOMS</t>
        </is>
      </c>
      <c r="B32" s="12" t="inlineStr">
        <is>
          <t>COGS</t>
        </is>
      </c>
      <c r="C32" s="12" t="inlineStr">
        <is>
          <t>Cost of Goods Sold</t>
        </is>
      </c>
      <c r="D32" s="12" t="inlineStr">
        <is>
          <t>COGS</t>
        </is>
      </c>
      <c r="E32" s="14" t="inlineStr"/>
    </row>
    <row r="33">
      <c r="A33" s="12" t="inlineStr">
        <is>
          <t>FREIGHT</t>
        </is>
      </c>
      <c r="B33" s="12" t="inlineStr">
        <is>
          <t>COGS</t>
        </is>
      </c>
      <c r="C33" s="12" t="inlineStr">
        <is>
          <t>Cost of Goods Sold</t>
        </is>
      </c>
      <c r="D33" s="12" t="inlineStr">
        <is>
          <t>COGS</t>
        </is>
      </c>
      <c r="E33" s="14" t="inlineStr"/>
    </row>
    <row r="34">
      <c r="A34" s="12" t="inlineStr">
        <is>
          <t>CUSTOMER</t>
        </is>
      </c>
      <c r="B34" s="12" t="inlineStr">
        <is>
          <t>REVENUE_PROD</t>
        </is>
      </c>
      <c r="C34" s="12" t="inlineStr">
        <is>
          <t>Product Revenue</t>
        </is>
      </c>
      <c r="D34" s="12" t="inlineStr">
        <is>
          <t>REVENUE</t>
        </is>
      </c>
      <c r="E34" s="14" t="inlineStr"/>
    </row>
    <row r="35">
      <c r="A35" s="12" t="inlineStr">
        <is>
          <t>RECEIPT FROM</t>
        </is>
      </c>
      <c r="B35" s="12" t="inlineStr">
        <is>
          <t>REVENUE_PROD</t>
        </is>
      </c>
      <c r="C35" s="12" t="inlineStr">
        <is>
          <t>Product Revenue</t>
        </is>
      </c>
      <c r="D35" s="12" t="inlineStr">
        <is>
          <t>REVENUE</t>
        </is>
      </c>
      <c r="E35" s="14" t="inlineStr"/>
    </row>
    <row r="36">
      <c r="A36" s="12" t="inlineStr">
        <is>
          <t>VAT</t>
        </is>
      </c>
      <c r="B36" s="12" t="inlineStr">
        <is>
          <t>TAX</t>
        </is>
      </c>
      <c r="C36" s="12" t="inlineStr">
        <is>
          <t>Tax Payments</t>
        </is>
      </c>
      <c r="D36" s="12" t="inlineStr">
        <is>
          <t>TAX</t>
        </is>
      </c>
      <c r="E36" s="14" t="inlineStr">
        <is>
          <t>תנועת מס ולא הוצאה תפעולית. נכנסת לתזרים ולא לרווח והפסד.</t>
        </is>
      </c>
    </row>
    <row r="37">
      <c r="A37" s="12" t="inlineStr">
        <is>
          <t>TAX ADVANCE</t>
        </is>
      </c>
      <c r="B37" s="12" t="inlineStr">
        <is>
          <t>TAX</t>
        </is>
      </c>
      <c r="C37" s="12" t="inlineStr">
        <is>
          <t>Tax Payments</t>
        </is>
      </c>
      <c r="D37" s="12" t="inlineStr">
        <is>
          <t>TAX</t>
        </is>
      </c>
      <c r="E37" s="14" t="inlineStr"/>
    </row>
    <row r="38">
      <c r="A38" s="12" t="inlineStr">
        <is>
          <t>WITHHOLDING</t>
        </is>
      </c>
      <c r="B38" s="12" t="inlineStr">
        <is>
          <t>TAX</t>
        </is>
      </c>
      <c r="C38" s="12" t="inlineStr">
        <is>
          <t>Tax Payments</t>
        </is>
      </c>
      <c r="D38" s="12" t="inlineStr">
        <is>
          <t>TAX</t>
        </is>
      </c>
      <c r="E38" s="14" t="inlineStr"/>
    </row>
    <row r="39">
      <c r="A39" s="12" t="inlineStr">
        <is>
          <t>OWNER DRAW</t>
        </is>
      </c>
      <c r="B39" s="12" t="inlineStr">
        <is>
          <t>OWNER</t>
        </is>
      </c>
      <c r="C39" s="12" t="inlineStr">
        <is>
          <t>Owner Drawings</t>
        </is>
      </c>
      <c r="D39" s="12" t="inlineStr">
        <is>
          <t>OWNER</t>
        </is>
      </c>
      <c r="E39" s="14" t="inlineStr">
        <is>
          <t>לא הוצאה. דגל אדום לסעיף 3(ט1).</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27"/>
  <sheetViews>
    <sheetView rightToLeft="1" workbookViewId="0">
      <pane ySplit="7" topLeftCell="A8" activePane="bottomLeft" state="frozen"/>
      <selection pane="bottomLeft" activeCell="A1" sqref="A1"/>
    </sheetView>
  </sheetViews>
  <sheetFormatPr baseColWidth="8" defaultRowHeight="15"/>
  <cols>
    <col width="15" customWidth="1" min="1" max="1"/>
    <col width="40" customWidth="1" min="2" max="2"/>
    <col width="16" customWidth="1" min="3" max="3"/>
    <col width="12" customWidth="1" min="4" max="4"/>
    <col width="14" customWidth="1" min="5" max="5"/>
    <col width="14" customWidth="1" min="6" max="6"/>
    <col width="38" customWidth="1" min="7" max="7"/>
    <col width="16" customWidth="1" min="8" max="8"/>
    <col width="12" customWidth="1" min="9" max="9"/>
  </cols>
  <sheetData>
    <row r="1" ht="32" customHeight="1">
      <c r="A1" s="1" t="inlineStr">
        <is>
          <t>Lab 1 · ניקוי דאטה בנוסחאות</t>
        </is>
      </c>
    </row>
    <row r="2" ht="18" customHeight="1">
      <c r="A2" s="2" t="inlineStr">
        <is>
          <t>E שליפה, T ניקוי והמרה, L טעינה לטבלה אחידה. הכול עובד זהה במק ובווינדוס.</t>
        </is>
      </c>
    </row>
    <row r="3">
      <c r="A3" s="15" t="inlineStr">
        <is>
          <t>הלוגיקה: הבנק לא יודע חשבונאות. הוא נותן טקסט חופשי, ואנחנו הופכים אותו לשורה מסווגת שאפשר להשוות לתקציב.</t>
        </is>
      </c>
    </row>
    <row r="4">
      <c r="A4" s="15" t="inlineStr">
        <is>
          <t>שימו לב לפונקציה UNICHAR ולא CHAR. הפונקציה CHAR מחזירה תו שונה במק ובווינדוס, ולכן ניקוי שמסתמך עליה יעבוד אצל חלק מהכיתה בלבד.</t>
        </is>
      </c>
    </row>
    <row r="5">
      <c r="A5" s="15" t="inlineStr">
        <is>
          <t>כל הערכים שמופיעים בתוך הנוסחאות כאן הם באנגלית, כדי שאפשר יהיה להעתיק ולהדביק אותן בלי שהעברית תשבור אותן.</t>
        </is>
      </c>
    </row>
    <row r="7" ht="28" customHeight="1">
      <c r="A7" s="9" t="inlineStr">
        <is>
          <t>RawDate</t>
        </is>
      </c>
      <c r="B7" s="9" t="inlineStr">
        <is>
          <t>RawDesc</t>
        </is>
      </c>
      <c r="C7" s="9" t="inlineStr">
        <is>
          <t>RawAmount</t>
        </is>
      </c>
      <c r="D7" s="9" t="inlineStr">
        <is>
          <t>Ref</t>
        </is>
      </c>
      <c r="E7" s="9" t="inlineStr">
        <is>
          <t>1. CleanDate</t>
        </is>
      </c>
      <c r="F7" s="9" t="inlineStr">
        <is>
          <t>2. Amount</t>
        </is>
      </c>
      <c r="G7" s="9" t="inlineStr">
        <is>
          <t>3. CleanDesc</t>
        </is>
      </c>
      <c r="H7" s="9" t="inlineStr">
        <is>
          <t>4. Acct</t>
        </is>
      </c>
      <c r="I7" s="9" t="inlineStr">
        <is>
          <t>5. DupFlag</t>
        </is>
      </c>
    </row>
    <row r="8">
      <c r="A8" s="6">
        <f>'01_BANK_RAW'!A5</f>
        <v/>
      </c>
      <c r="B8" s="6">
        <f>'01_BANK_RAW'!B5</f>
        <v/>
      </c>
      <c r="C8" s="6">
        <f>'01_BANK_RAW'!C5</f>
        <v/>
      </c>
      <c r="D8" s="6">
        <f>'01_BANK_RAW'!D5</f>
        <v/>
      </c>
      <c r="E8" s="41">
        <f>_xlfn.LET(t,SUBSTITUTE(TRIM(A8),".","/"),d,VALUE(LEFT(t,FIND("/",t)-1)),r,MID(t,FIND("/",t)+1,20),m,VALUE(LEFT(r,FIND("/",r)-1)),y,VALUE(MID(r,FIND("/",r)+1,4)),DATE(IF(y&lt;100,2000+y,y),m,d))</f>
        <v/>
      </c>
      <c r="F8" s="17">
        <f>_xlfn.LET(t,SUBSTITUTE(C8,_xlfn.UNICHAR(160)," "),n,SUBSTITUTE(SUBSTITUTE(TRIM(t)," ",""),",",""),IF(LEFT(n,1)="(",-VALUE(SUBSTITUTE(SUBSTITUTE(n,"(",""),")","")),VALUE(n)))</f>
        <v/>
      </c>
      <c r="G8" s="18">
        <f>TRIM(SUBSTITUTE(SUBSTITUTE(SUBSTITUTE(B8,_xlfn.UNICHAR(160)," "),_xlfn.UNICHAR(8207),""),_xlfn.UNICHAR(8206),""))</f>
        <v/>
      </c>
      <c r="H8" s="18">
        <f>IFERROR(INDEX(MAP[Acct],SUMPRODUCT(MATCH(1,--ISNUMBER(SEARCH(MAP[Keyword],G8)),0))),"UNMAPPED")</f>
        <v/>
      </c>
      <c r="I8" s="18">
        <f>IF(COUNTIFS($D$8:$D$108,D8,$F$8:$F$108,F8,$E$8:$E$108,E8)&gt;1,"DUP","")</f>
        <v/>
      </c>
    </row>
    <row r="9">
      <c r="A9" s="6">
        <f>'01_BANK_RAW'!A6</f>
        <v/>
      </c>
      <c r="B9" s="6">
        <f>'01_BANK_RAW'!B6</f>
        <v/>
      </c>
      <c r="C9" s="6">
        <f>'01_BANK_RAW'!C6</f>
        <v/>
      </c>
      <c r="D9" s="6">
        <f>'01_BANK_RAW'!D6</f>
        <v/>
      </c>
      <c r="E9" s="41">
        <f>_xlfn.LET(t,SUBSTITUTE(TRIM(A9),".","/"),d,VALUE(LEFT(t,FIND("/",t)-1)),r,MID(t,FIND("/",t)+1,20),m,VALUE(LEFT(r,FIND("/",r)-1)),y,VALUE(MID(r,FIND("/",r)+1,4)),DATE(IF(y&lt;100,2000+y,y),m,d))</f>
        <v/>
      </c>
      <c r="F9" s="17">
        <f>_xlfn.LET(t,SUBSTITUTE(C9,_xlfn.UNICHAR(160)," "),n,SUBSTITUTE(SUBSTITUTE(TRIM(t)," ",""),",",""),IF(LEFT(n,1)="(",-VALUE(SUBSTITUTE(SUBSTITUTE(n,"(",""),")","")),VALUE(n)))</f>
        <v/>
      </c>
      <c r="G9" s="18">
        <f>TRIM(SUBSTITUTE(SUBSTITUTE(SUBSTITUTE(B9,_xlfn.UNICHAR(160)," "),_xlfn.UNICHAR(8207),""),_xlfn.UNICHAR(8206),""))</f>
        <v/>
      </c>
      <c r="H9" s="18">
        <f>IFERROR(INDEX(MAP[Acct],SUMPRODUCT(MATCH(1,--ISNUMBER(SEARCH(MAP[Keyword],G9)),0))),"UNMAPPED")</f>
        <v/>
      </c>
      <c r="I9" s="18">
        <f>IF(COUNTIFS($D$8:$D$108,D9,$F$8:$F$108,F9,$E$8:$E$108,E9)&gt;1,"DUP","")</f>
        <v/>
      </c>
    </row>
    <row r="10">
      <c r="A10" s="6">
        <f>'01_BANK_RAW'!A7</f>
        <v/>
      </c>
      <c r="B10" s="6">
        <f>'01_BANK_RAW'!B7</f>
        <v/>
      </c>
      <c r="C10" s="6">
        <f>'01_BANK_RAW'!C7</f>
        <v/>
      </c>
      <c r="D10" s="6">
        <f>'01_BANK_RAW'!D7</f>
        <v/>
      </c>
      <c r="E10" s="41">
        <f>_xlfn.LET(t,SUBSTITUTE(TRIM(A10),".","/"),d,VALUE(LEFT(t,FIND("/",t)-1)),r,MID(t,FIND("/",t)+1,20),m,VALUE(LEFT(r,FIND("/",r)-1)),y,VALUE(MID(r,FIND("/",r)+1,4)),DATE(IF(y&lt;100,2000+y,y),m,d))</f>
        <v/>
      </c>
      <c r="F10" s="17">
        <f>_xlfn.LET(t,SUBSTITUTE(C10,_xlfn.UNICHAR(160)," "),n,SUBSTITUTE(SUBSTITUTE(TRIM(t)," ",""),",",""),IF(LEFT(n,1)="(",-VALUE(SUBSTITUTE(SUBSTITUTE(n,"(",""),")","")),VALUE(n)))</f>
        <v/>
      </c>
      <c r="G10" s="18">
        <f>TRIM(SUBSTITUTE(SUBSTITUTE(SUBSTITUTE(B10,_xlfn.UNICHAR(160)," "),_xlfn.UNICHAR(8207),""),_xlfn.UNICHAR(8206),""))</f>
        <v/>
      </c>
      <c r="H10" s="18">
        <f>IFERROR(INDEX(MAP[Acct],SUMPRODUCT(MATCH(1,--ISNUMBER(SEARCH(MAP[Keyword],G10)),0))),"UNMAPPED")</f>
        <v/>
      </c>
      <c r="I10" s="18">
        <f>IF(COUNTIFS($D$8:$D$108,D10,$F$8:$F$108,F10,$E$8:$E$108,E10)&gt;1,"DUP","")</f>
        <v/>
      </c>
    </row>
    <row r="11">
      <c r="A11" s="6">
        <f>'01_BANK_RAW'!A8</f>
        <v/>
      </c>
      <c r="B11" s="6">
        <f>'01_BANK_RAW'!B8</f>
        <v/>
      </c>
      <c r="C11" s="6">
        <f>'01_BANK_RAW'!C8</f>
        <v/>
      </c>
      <c r="D11" s="6">
        <f>'01_BANK_RAW'!D8</f>
        <v/>
      </c>
      <c r="E11" s="41">
        <f>_xlfn.LET(t,SUBSTITUTE(TRIM(A11),".","/"),d,VALUE(LEFT(t,FIND("/",t)-1)),r,MID(t,FIND("/",t)+1,20),m,VALUE(LEFT(r,FIND("/",r)-1)),y,VALUE(MID(r,FIND("/",r)+1,4)),DATE(IF(y&lt;100,2000+y,y),m,d))</f>
        <v/>
      </c>
      <c r="F11" s="17">
        <f>_xlfn.LET(t,SUBSTITUTE(C11,_xlfn.UNICHAR(160)," "),n,SUBSTITUTE(SUBSTITUTE(TRIM(t)," ",""),",",""),IF(LEFT(n,1)="(",-VALUE(SUBSTITUTE(SUBSTITUTE(n,"(",""),")","")),VALUE(n)))</f>
        <v/>
      </c>
      <c r="G11" s="18">
        <f>TRIM(SUBSTITUTE(SUBSTITUTE(SUBSTITUTE(B11,_xlfn.UNICHAR(160)," "),_xlfn.UNICHAR(8207),""),_xlfn.UNICHAR(8206),""))</f>
        <v/>
      </c>
      <c r="H11" s="18">
        <f>IFERROR(INDEX(MAP[Acct],SUMPRODUCT(MATCH(1,--ISNUMBER(SEARCH(MAP[Keyword],G11)),0))),"UNMAPPED")</f>
        <v/>
      </c>
      <c r="I11" s="18">
        <f>IF(COUNTIFS($D$8:$D$108,D11,$F$8:$F$108,F11,$E$8:$E$108,E11)&gt;1,"DUP","")</f>
        <v/>
      </c>
    </row>
    <row r="12">
      <c r="A12" s="6">
        <f>'01_BANK_RAW'!A9</f>
        <v/>
      </c>
      <c r="B12" s="6">
        <f>'01_BANK_RAW'!B9</f>
        <v/>
      </c>
      <c r="C12" s="6">
        <f>'01_BANK_RAW'!C9</f>
        <v/>
      </c>
      <c r="D12" s="6">
        <f>'01_BANK_RAW'!D9</f>
        <v/>
      </c>
      <c r="E12" s="41">
        <f>_xlfn.LET(t,SUBSTITUTE(TRIM(A12),".","/"),d,VALUE(LEFT(t,FIND("/",t)-1)),r,MID(t,FIND("/",t)+1,20),m,VALUE(LEFT(r,FIND("/",r)-1)),y,VALUE(MID(r,FIND("/",r)+1,4)),DATE(IF(y&lt;100,2000+y,y),m,d))</f>
        <v/>
      </c>
      <c r="F12" s="17">
        <f>_xlfn.LET(t,SUBSTITUTE(C12,_xlfn.UNICHAR(160)," "),n,SUBSTITUTE(SUBSTITUTE(TRIM(t)," ",""),",",""),IF(LEFT(n,1)="(",-VALUE(SUBSTITUTE(SUBSTITUTE(n,"(",""),")","")),VALUE(n)))</f>
        <v/>
      </c>
      <c r="G12" s="18">
        <f>TRIM(SUBSTITUTE(SUBSTITUTE(SUBSTITUTE(B12,_xlfn.UNICHAR(160)," "),_xlfn.UNICHAR(8207),""),_xlfn.UNICHAR(8206),""))</f>
        <v/>
      </c>
      <c r="H12" s="18">
        <f>IFERROR(INDEX(MAP[Acct],SUMPRODUCT(MATCH(1,--ISNUMBER(SEARCH(MAP[Keyword],G12)),0))),"UNMAPPED")</f>
        <v/>
      </c>
      <c r="I12" s="18">
        <f>IF(COUNTIFS($D$8:$D$108,D12,$F$8:$F$108,F12,$E$8:$E$108,E12)&gt;1,"DUP","")</f>
        <v/>
      </c>
    </row>
    <row r="13">
      <c r="A13" s="6">
        <f>'01_BANK_RAW'!A10</f>
        <v/>
      </c>
      <c r="B13" s="6">
        <f>'01_BANK_RAW'!B10</f>
        <v/>
      </c>
      <c r="C13" s="6">
        <f>'01_BANK_RAW'!C10</f>
        <v/>
      </c>
      <c r="D13" s="6">
        <f>'01_BANK_RAW'!D10</f>
        <v/>
      </c>
      <c r="E13" s="41">
        <f>_xlfn.LET(t,SUBSTITUTE(TRIM(A13),".","/"),d,VALUE(LEFT(t,FIND("/",t)-1)),r,MID(t,FIND("/",t)+1,20),m,VALUE(LEFT(r,FIND("/",r)-1)),y,VALUE(MID(r,FIND("/",r)+1,4)),DATE(IF(y&lt;100,2000+y,y),m,d))</f>
        <v/>
      </c>
      <c r="F13" s="17">
        <f>_xlfn.LET(t,SUBSTITUTE(C13,_xlfn.UNICHAR(160)," "),n,SUBSTITUTE(SUBSTITUTE(TRIM(t)," ",""),",",""),IF(LEFT(n,1)="(",-VALUE(SUBSTITUTE(SUBSTITUTE(n,"(",""),")","")),VALUE(n)))</f>
        <v/>
      </c>
      <c r="G13" s="18">
        <f>TRIM(SUBSTITUTE(SUBSTITUTE(SUBSTITUTE(B13,_xlfn.UNICHAR(160)," "),_xlfn.UNICHAR(8207),""),_xlfn.UNICHAR(8206),""))</f>
        <v/>
      </c>
      <c r="H13" s="18">
        <f>IFERROR(INDEX(MAP[Acct],SUMPRODUCT(MATCH(1,--ISNUMBER(SEARCH(MAP[Keyword],G13)),0))),"UNMAPPED")</f>
        <v/>
      </c>
      <c r="I13" s="18">
        <f>IF(COUNTIFS($D$8:$D$108,D13,$F$8:$F$108,F13,$E$8:$E$108,E13)&gt;1,"DUP","")</f>
        <v/>
      </c>
    </row>
    <row r="14">
      <c r="A14" s="6">
        <f>'01_BANK_RAW'!A11</f>
        <v/>
      </c>
      <c r="B14" s="6">
        <f>'01_BANK_RAW'!B11</f>
        <v/>
      </c>
      <c r="C14" s="6">
        <f>'01_BANK_RAW'!C11</f>
        <v/>
      </c>
      <c r="D14" s="6">
        <f>'01_BANK_RAW'!D11</f>
        <v/>
      </c>
      <c r="E14" s="41">
        <f>_xlfn.LET(t,SUBSTITUTE(TRIM(A14),".","/"),d,VALUE(LEFT(t,FIND("/",t)-1)),r,MID(t,FIND("/",t)+1,20),m,VALUE(LEFT(r,FIND("/",r)-1)),y,VALUE(MID(r,FIND("/",r)+1,4)),DATE(IF(y&lt;100,2000+y,y),m,d))</f>
        <v/>
      </c>
      <c r="F14" s="17">
        <f>_xlfn.LET(t,SUBSTITUTE(C14,_xlfn.UNICHAR(160)," "),n,SUBSTITUTE(SUBSTITUTE(TRIM(t)," ",""),",",""),IF(LEFT(n,1)="(",-VALUE(SUBSTITUTE(SUBSTITUTE(n,"(",""),")","")),VALUE(n)))</f>
        <v/>
      </c>
      <c r="G14" s="18">
        <f>TRIM(SUBSTITUTE(SUBSTITUTE(SUBSTITUTE(B14,_xlfn.UNICHAR(160)," "),_xlfn.UNICHAR(8207),""),_xlfn.UNICHAR(8206),""))</f>
        <v/>
      </c>
      <c r="H14" s="18">
        <f>IFERROR(INDEX(MAP[Acct],SUMPRODUCT(MATCH(1,--ISNUMBER(SEARCH(MAP[Keyword],G14)),0))),"UNMAPPED")</f>
        <v/>
      </c>
      <c r="I14" s="18">
        <f>IF(COUNTIFS($D$8:$D$108,D14,$F$8:$F$108,F14,$E$8:$E$108,E14)&gt;1,"DUP","")</f>
        <v/>
      </c>
    </row>
    <row r="15">
      <c r="A15" s="6">
        <f>'01_BANK_RAW'!A12</f>
        <v/>
      </c>
      <c r="B15" s="6">
        <f>'01_BANK_RAW'!B12</f>
        <v/>
      </c>
      <c r="C15" s="6">
        <f>'01_BANK_RAW'!C12</f>
        <v/>
      </c>
      <c r="D15" s="6">
        <f>'01_BANK_RAW'!D12</f>
        <v/>
      </c>
      <c r="E15" s="41">
        <f>_xlfn.LET(t,SUBSTITUTE(TRIM(A15),".","/"),d,VALUE(LEFT(t,FIND("/",t)-1)),r,MID(t,FIND("/",t)+1,20),m,VALUE(LEFT(r,FIND("/",r)-1)),y,VALUE(MID(r,FIND("/",r)+1,4)),DATE(IF(y&lt;100,2000+y,y),m,d))</f>
        <v/>
      </c>
      <c r="F15" s="17">
        <f>_xlfn.LET(t,SUBSTITUTE(C15,_xlfn.UNICHAR(160)," "),n,SUBSTITUTE(SUBSTITUTE(TRIM(t)," ",""),",",""),IF(LEFT(n,1)="(",-VALUE(SUBSTITUTE(SUBSTITUTE(n,"(",""),")","")),VALUE(n)))</f>
        <v/>
      </c>
      <c r="G15" s="18">
        <f>TRIM(SUBSTITUTE(SUBSTITUTE(SUBSTITUTE(B15,_xlfn.UNICHAR(160)," "),_xlfn.UNICHAR(8207),""),_xlfn.UNICHAR(8206),""))</f>
        <v/>
      </c>
      <c r="H15" s="18">
        <f>IFERROR(INDEX(MAP[Acct],SUMPRODUCT(MATCH(1,--ISNUMBER(SEARCH(MAP[Keyword],G15)),0))),"UNMAPPED")</f>
        <v/>
      </c>
      <c r="I15" s="18">
        <f>IF(COUNTIFS($D$8:$D$108,D15,$F$8:$F$108,F15,$E$8:$E$108,E15)&gt;1,"DUP","")</f>
        <v/>
      </c>
    </row>
    <row r="16">
      <c r="A16" s="6">
        <f>'01_BANK_RAW'!A13</f>
        <v/>
      </c>
      <c r="B16" s="6">
        <f>'01_BANK_RAW'!B13</f>
        <v/>
      </c>
      <c r="C16" s="6">
        <f>'01_BANK_RAW'!C13</f>
        <v/>
      </c>
      <c r="D16" s="6">
        <f>'01_BANK_RAW'!D13</f>
        <v/>
      </c>
      <c r="E16" s="41">
        <f>_xlfn.LET(t,SUBSTITUTE(TRIM(A16),".","/"),d,VALUE(LEFT(t,FIND("/",t)-1)),r,MID(t,FIND("/",t)+1,20),m,VALUE(LEFT(r,FIND("/",r)-1)),y,VALUE(MID(r,FIND("/",r)+1,4)),DATE(IF(y&lt;100,2000+y,y),m,d))</f>
        <v/>
      </c>
      <c r="F16" s="17">
        <f>_xlfn.LET(t,SUBSTITUTE(C16,_xlfn.UNICHAR(160)," "),n,SUBSTITUTE(SUBSTITUTE(TRIM(t)," ",""),",",""),IF(LEFT(n,1)="(",-VALUE(SUBSTITUTE(SUBSTITUTE(n,"(",""),")","")),VALUE(n)))</f>
        <v/>
      </c>
      <c r="G16" s="18">
        <f>TRIM(SUBSTITUTE(SUBSTITUTE(SUBSTITUTE(B16,_xlfn.UNICHAR(160)," "),_xlfn.UNICHAR(8207),""),_xlfn.UNICHAR(8206),""))</f>
        <v/>
      </c>
      <c r="H16" s="18">
        <f>IFERROR(INDEX(MAP[Acct],SUMPRODUCT(MATCH(1,--ISNUMBER(SEARCH(MAP[Keyword],G16)),0))),"UNMAPPED")</f>
        <v/>
      </c>
      <c r="I16" s="18">
        <f>IF(COUNTIFS($D$8:$D$108,D16,$F$8:$F$108,F16,$E$8:$E$108,E16)&gt;1,"DUP","")</f>
        <v/>
      </c>
    </row>
    <row r="17">
      <c r="A17" s="6">
        <f>'01_BANK_RAW'!A14</f>
        <v/>
      </c>
      <c r="B17" s="6">
        <f>'01_BANK_RAW'!B14</f>
        <v/>
      </c>
      <c r="C17" s="6">
        <f>'01_BANK_RAW'!C14</f>
        <v/>
      </c>
      <c r="D17" s="6">
        <f>'01_BANK_RAW'!D14</f>
        <v/>
      </c>
      <c r="E17" s="41">
        <f>_xlfn.LET(t,SUBSTITUTE(TRIM(A17),".","/"),d,VALUE(LEFT(t,FIND("/",t)-1)),r,MID(t,FIND("/",t)+1,20),m,VALUE(LEFT(r,FIND("/",r)-1)),y,VALUE(MID(r,FIND("/",r)+1,4)),DATE(IF(y&lt;100,2000+y,y),m,d))</f>
        <v/>
      </c>
      <c r="F17" s="17">
        <f>_xlfn.LET(t,SUBSTITUTE(C17,_xlfn.UNICHAR(160)," "),n,SUBSTITUTE(SUBSTITUTE(TRIM(t)," ",""),",",""),IF(LEFT(n,1)="(",-VALUE(SUBSTITUTE(SUBSTITUTE(n,"(",""),")","")),VALUE(n)))</f>
        <v/>
      </c>
      <c r="G17" s="18">
        <f>TRIM(SUBSTITUTE(SUBSTITUTE(SUBSTITUTE(B17,_xlfn.UNICHAR(160)," "),_xlfn.UNICHAR(8207),""),_xlfn.UNICHAR(8206),""))</f>
        <v/>
      </c>
      <c r="H17" s="18">
        <f>IFERROR(INDEX(MAP[Acct],SUMPRODUCT(MATCH(1,--ISNUMBER(SEARCH(MAP[Keyword],G17)),0))),"UNMAPPED")</f>
        <v/>
      </c>
      <c r="I17" s="18">
        <f>IF(COUNTIFS($D$8:$D$108,D17,$F$8:$F$108,F17,$E$8:$E$108,E17)&gt;1,"DUP","")</f>
        <v/>
      </c>
    </row>
    <row r="18">
      <c r="A18" s="6">
        <f>'01_BANK_RAW'!A15</f>
        <v/>
      </c>
      <c r="B18" s="6">
        <f>'01_BANK_RAW'!B15</f>
        <v/>
      </c>
      <c r="C18" s="6">
        <f>'01_BANK_RAW'!C15</f>
        <v/>
      </c>
      <c r="D18" s="6">
        <f>'01_BANK_RAW'!D15</f>
        <v/>
      </c>
      <c r="E18" s="41">
        <f>_xlfn.LET(t,SUBSTITUTE(TRIM(A18),".","/"),d,VALUE(LEFT(t,FIND("/",t)-1)),r,MID(t,FIND("/",t)+1,20),m,VALUE(LEFT(r,FIND("/",r)-1)),y,VALUE(MID(r,FIND("/",r)+1,4)),DATE(IF(y&lt;100,2000+y,y),m,d))</f>
        <v/>
      </c>
      <c r="F18" s="17">
        <f>_xlfn.LET(t,SUBSTITUTE(C18,_xlfn.UNICHAR(160)," "),n,SUBSTITUTE(SUBSTITUTE(TRIM(t)," ",""),",",""),IF(LEFT(n,1)="(",-VALUE(SUBSTITUTE(SUBSTITUTE(n,"(",""),")","")),VALUE(n)))</f>
        <v/>
      </c>
      <c r="G18" s="18">
        <f>TRIM(SUBSTITUTE(SUBSTITUTE(SUBSTITUTE(B18,_xlfn.UNICHAR(160)," "),_xlfn.UNICHAR(8207),""),_xlfn.UNICHAR(8206),""))</f>
        <v/>
      </c>
      <c r="H18" s="18">
        <f>IFERROR(INDEX(MAP[Acct],SUMPRODUCT(MATCH(1,--ISNUMBER(SEARCH(MAP[Keyword],G18)),0))),"UNMAPPED")</f>
        <v/>
      </c>
      <c r="I18" s="18">
        <f>IF(COUNTIFS($D$8:$D$108,D18,$F$8:$F$108,F18,$E$8:$E$108,E18)&gt;1,"DUP","")</f>
        <v/>
      </c>
    </row>
    <row r="19">
      <c r="A19" s="6">
        <f>'01_BANK_RAW'!A16</f>
        <v/>
      </c>
      <c r="B19" s="6">
        <f>'01_BANK_RAW'!B16</f>
        <v/>
      </c>
      <c r="C19" s="6">
        <f>'01_BANK_RAW'!C16</f>
        <v/>
      </c>
      <c r="D19" s="6">
        <f>'01_BANK_RAW'!D16</f>
        <v/>
      </c>
      <c r="E19" s="41">
        <f>_xlfn.LET(t,SUBSTITUTE(TRIM(A19),".","/"),d,VALUE(LEFT(t,FIND("/",t)-1)),r,MID(t,FIND("/",t)+1,20),m,VALUE(LEFT(r,FIND("/",r)-1)),y,VALUE(MID(r,FIND("/",r)+1,4)),DATE(IF(y&lt;100,2000+y,y),m,d))</f>
        <v/>
      </c>
      <c r="F19" s="17">
        <f>_xlfn.LET(t,SUBSTITUTE(C19,_xlfn.UNICHAR(160)," "),n,SUBSTITUTE(SUBSTITUTE(TRIM(t)," ",""),",",""),IF(LEFT(n,1)="(",-VALUE(SUBSTITUTE(SUBSTITUTE(n,"(",""),")","")),VALUE(n)))</f>
        <v/>
      </c>
      <c r="G19" s="18">
        <f>TRIM(SUBSTITUTE(SUBSTITUTE(SUBSTITUTE(B19,_xlfn.UNICHAR(160)," "),_xlfn.UNICHAR(8207),""),_xlfn.UNICHAR(8206),""))</f>
        <v/>
      </c>
      <c r="H19" s="18">
        <f>IFERROR(INDEX(MAP[Acct],SUMPRODUCT(MATCH(1,--ISNUMBER(SEARCH(MAP[Keyword],G19)),0))),"UNMAPPED")</f>
        <v/>
      </c>
      <c r="I19" s="18">
        <f>IF(COUNTIFS($D$8:$D$108,D19,$F$8:$F$108,F19,$E$8:$E$108,E19)&gt;1,"DUP","")</f>
        <v/>
      </c>
    </row>
    <row r="20">
      <c r="A20" s="6">
        <f>'01_BANK_RAW'!A17</f>
        <v/>
      </c>
      <c r="B20" s="6">
        <f>'01_BANK_RAW'!B17</f>
        <v/>
      </c>
      <c r="C20" s="6">
        <f>'01_BANK_RAW'!C17</f>
        <v/>
      </c>
      <c r="D20" s="6">
        <f>'01_BANK_RAW'!D17</f>
        <v/>
      </c>
      <c r="E20" s="41">
        <f>_xlfn.LET(t,SUBSTITUTE(TRIM(A20),".","/"),d,VALUE(LEFT(t,FIND("/",t)-1)),r,MID(t,FIND("/",t)+1,20),m,VALUE(LEFT(r,FIND("/",r)-1)),y,VALUE(MID(r,FIND("/",r)+1,4)),DATE(IF(y&lt;100,2000+y,y),m,d))</f>
        <v/>
      </c>
      <c r="F20" s="17">
        <f>_xlfn.LET(t,SUBSTITUTE(C20,_xlfn.UNICHAR(160)," "),n,SUBSTITUTE(SUBSTITUTE(TRIM(t)," ",""),",",""),IF(LEFT(n,1)="(",-VALUE(SUBSTITUTE(SUBSTITUTE(n,"(",""),")","")),VALUE(n)))</f>
        <v/>
      </c>
      <c r="G20" s="18">
        <f>TRIM(SUBSTITUTE(SUBSTITUTE(SUBSTITUTE(B20,_xlfn.UNICHAR(160)," "),_xlfn.UNICHAR(8207),""),_xlfn.UNICHAR(8206),""))</f>
        <v/>
      </c>
      <c r="H20" s="18">
        <f>IFERROR(INDEX(MAP[Acct],SUMPRODUCT(MATCH(1,--ISNUMBER(SEARCH(MAP[Keyword],G20)),0))),"UNMAPPED")</f>
        <v/>
      </c>
      <c r="I20" s="18">
        <f>IF(COUNTIFS($D$8:$D$108,D20,$F$8:$F$108,F20,$E$8:$E$108,E20)&gt;1,"DUP","")</f>
        <v/>
      </c>
    </row>
    <row r="21">
      <c r="A21" s="6">
        <f>'01_BANK_RAW'!A18</f>
        <v/>
      </c>
      <c r="B21" s="6">
        <f>'01_BANK_RAW'!B18</f>
        <v/>
      </c>
      <c r="C21" s="6">
        <f>'01_BANK_RAW'!C18</f>
        <v/>
      </c>
      <c r="D21" s="6">
        <f>'01_BANK_RAW'!D18</f>
        <v/>
      </c>
      <c r="E21" s="41">
        <f>_xlfn.LET(t,SUBSTITUTE(TRIM(A21),".","/"),d,VALUE(LEFT(t,FIND("/",t)-1)),r,MID(t,FIND("/",t)+1,20),m,VALUE(LEFT(r,FIND("/",r)-1)),y,VALUE(MID(r,FIND("/",r)+1,4)),DATE(IF(y&lt;100,2000+y,y),m,d))</f>
        <v/>
      </c>
      <c r="F21" s="17">
        <f>_xlfn.LET(t,SUBSTITUTE(C21,_xlfn.UNICHAR(160)," "),n,SUBSTITUTE(SUBSTITUTE(TRIM(t)," ",""),",",""),IF(LEFT(n,1)="(",-VALUE(SUBSTITUTE(SUBSTITUTE(n,"(",""),")","")),VALUE(n)))</f>
        <v/>
      </c>
      <c r="G21" s="18">
        <f>TRIM(SUBSTITUTE(SUBSTITUTE(SUBSTITUTE(B21,_xlfn.UNICHAR(160)," "),_xlfn.UNICHAR(8207),""),_xlfn.UNICHAR(8206),""))</f>
        <v/>
      </c>
      <c r="H21" s="18">
        <f>IFERROR(INDEX(MAP[Acct],SUMPRODUCT(MATCH(1,--ISNUMBER(SEARCH(MAP[Keyword],G21)),0))),"UNMAPPED")</f>
        <v/>
      </c>
      <c r="I21" s="18">
        <f>IF(COUNTIFS($D$8:$D$108,D21,$F$8:$F$108,F21,$E$8:$E$108,E21)&gt;1,"DUP","")</f>
        <v/>
      </c>
    </row>
    <row r="22">
      <c r="A22" s="6">
        <f>'01_BANK_RAW'!A19</f>
        <v/>
      </c>
      <c r="B22" s="6">
        <f>'01_BANK_RAW'!B19</f>
        <v/>
      </c>
      <c r="C22" s="6">
        <f>'01_BANK_RAW'!C19</f>
        <v/>
      </c>
      <c r="D22" s="6">
        <f>'01_BANK_RAW'!D19</f>
        <v/>
      </c>
      <c r="E22" s="41">
        <f>_xlfn.LET(t,SUBSTITUTE(TRIM(A22),".","/"),d,VALUE(LEFT(t,FIND("/",t)-1)),r,MID(t,FIND("/",t)+1,20),m,VALUE(LEFT(r,FIND("/",r)-1)),y,VALUE(MID(r,FIND("/",r)+1,4)),DATE(IF(y&lt;100,2000+y,y),m,d))</f>
        <v/>
      </c>
      <c r="F22" s="17">
        <f>_xlfn.LET(t,SUBSTITUTE(C22,_xlfn.UNICHAR(160)," "),n,SUBSTITUTE(SUBSTITUTE(TRIM(t)," ",""),",",""),IF(LEFT(n,1)="(",-VALUE(SUBSTITUTE(SUBSTITUTE(n,"(",""),")","")),VALUE(n)))</f>
        <v/>
      </c>
      <c r="G22" s="18">
        <f>TRIM(SUBSTITUTE(SUBSTITUTE(SUBSTITUTE(B22,_xlfn.UNICHAR(160)," "),_xlfn.UNICHAR(8207),""),_xlfn.UNICHAR(8206),""))</f>
        <v/>
      </c>
      <c r="H22" s="18">
        <f>IFERROR(INDEX(MAP[Acct],SUMPRODUCT(MATCH(1,--ISNUMBER(SEARCH(MAP[Keyword],G22)),0))),"UNMAPPED")</f>
        <v/>
      </c>
      <c r="I22" s="18">
        <f>IF(COUNTIFS($D$8:$D$108,D22,$F$8:$F$108,F22,$E$8:$E$108,E22)&gt;1,"DUP","")</f>
        <v/>
      </c>
    </row>
    <row r="23">
      <c r="A23" s="6">
        <f>'01_BANK_RAW'!A20</f>
        <v/>
      </c>
      <c r="B23" s="6">
        <f>'01_BANK_RAW'!B20</f>
        <v/>
      </c>
      <c r="C23" s="6">
        <f>'01_BANK_RAW'!C20</f>
        <v/>
      </c>
      <c r="D23" s="6">
        <f>'01_BANK_RAW'!D20</f>
        <v/>
      </c>
      <c r="E23" s="41">
        <f>_xlfn.LET(t,SUBSTITUTE(TRIM(A23),".","/"),d,VALUE(LEFT(t,FIND("/",t)-1)),r,MID(t,FIND("/",t)+1,20),m,VALUE(LEFT(r,FIND("/",r)-1)),y,VALUE(MID(r,FIND("/",r)+1,4)),DATE(IF(y&lt;100,2000+y,y),m,d))</f>
        <v/>
      </c>
      <c r="F23" s="17">
        <f>_xlfn.LET(t,SUBSTITUTE(C23,_xlfn.UNICHAR(160)," "),n,SUBSTITUTE(SUBSTITUTE(TRIM(t)," ",""),",",""),IF(LEFT(n,1)="(",-VALUE(SUBSTITUTE(SUBSTITUTE(n,"(",""),")","")),VALUE(n)))</f>
        <v/>
      </c>
      <c r="G23" s="18">
        <f>TRIM(SUBSTITUTE(SUBSTITUTE(SUBSTITUTE(B23,_xlfn.UNICHAR(160)," "),_xlfn.UNICHAR(8207),""),_xlfn.UNICHAR(8206),""))</f>
        <v/>
      </c>
      <c r="H23" s="18">
        <f>IFERROR(INDEX(MAP[Acct],SUMPRODUCT(MATCH(1,--ISNUMBER(SEARCH(MAP[Keyword],G23)),0))),"UNMAPPED")</f>
        <v/>
      </c>
      <c r="I23" s="18">
        <f>IF(COUNTIFS($D$8:$D$108,D23,$F$8:$F$108,F23,$E$8:$E$108,E23)&gt;1,"DUP","")</f>
        <v/>
      </c>
    </row>
    <row r="24">
      <c r="A24" s="6">
        <f>'01_BANK_RAW'!A21</f>
        <v/>
      </c>
      <c r="B24" s="6">
        <f>'01_BANK_RAW'!B21</f>
        <v/>
      </c>
      <c r="C24" s="6">
        <f>'01_BANK_RAW'!C21</f>
        <v/>
      </c>
      <c r="D24" s="6">
        <f>'01_BANK_RAW'!D21</f>
        <v/>
      </c>
      <c r="E24" s="41">
        <f>_xlfn.LET(t,SUBSTITUTE(TRIM(A24),".","/"),d,VALUE(LEFT(t,FIND("/",t)-1)),r,MID(t,FIND("/",t)+1,20),m,VALUE(LEFT(r,FIND("/",r)-1)),y,VALUE(MID(r,FIND("/",r)+1,4)),DATE(IF(y&lt;100,2000+y,y),m,d))</f>
        <v/>
      </c>
      <c r="F24" s="17">
        <f>_xlfn.LET(t,SUBSTITUTE(C24,_xlfn.UNICHAR(160)," "),n,SUBSTITUTE(SUBSTITUTE(TRIM(t)," ",""),",",""),IF(LEFT(n,1)="(",-VALUE(SUBSTITUTE(SUBSTITUTE(n,"(",""),")","")),VALUE(n)))</f>
        <v/>
      </c>
      <c r="G24" s="18">
        <f>TRIM(SUBSTITUTE(SUBSTITUTE(SUBSTITUTE(B24,_xlfn.UNICHAR(160)," "),_xlfn.UNICHAR(8207),""),_xlfn.UNICHAR(8206),""))</f>
        <v/>
      </c>
      <c r="H24" s="18">
        <f>IFERROR(INDEX(MAP[Acct],SUMPRODUCT(MATCH(1,--ISNUMBER(SEARCH(MAP[Keyword],G24)),0))),"UNMAPPED")</f>
        <v/>
      </c>
      <c r="I24" s="18">
        <f>IF(COUNTIFS($D$8:$D$108,D24,$F$8:$F$108,F24,$E$8:$E$108,E24)&gt;1,"DUP","")</f>
        <v/>
      </c>
    </row>
    <row r="25">
      <c r="A25" s="6">
        <f>'01_BANK_RAW'!A22</f>
        <v/>
      </c>
      <c r="B25" s="6">
        <f>'01_BANK_RAW'!B22</f>
        <v/>
      </c>
      <c r="C25" s="6">
        <f>'01_BANK_RAW'!C22</f>
        <v/>
      </c>
      <c r="D25" s="6">
        <f>'01_BANK_RAW'!D22</f>
        <v/>
      </c>
      <c r="E25" s="41">
        <f>_xlfn.LET(t,SUBSTITUTE(TRIM(A25),".","/"),d,VALUE(LEFT(t,FIND("/",t)-1)),r,MID(t,FIND("/",t)+1,20),m,VALUE(LEFT(r,FIND("/",r)-1)),y,VALUE(MID(r,FIND("/",r)+1,4)),DATE(IF(y&lt;100,2000+y,y),m,d))</f>
        <v/>
      </c>
      <c r="F25" s="17">
        <f>_xlfn.LET(t,SUBSTITUTE(C25,_xlfn.UNICHAR(160)," "),n,SUBSTITUTE(SUBSTITUTE(TRIM(t)," ",""),",",""),IF(LEFT(n,1)="(",-VALUE(SUBSTITUTE(SUBSTITUTE(n,"(",""),")","")),VALUE(n)))</f>
        <v/>
      </c>
      <c r="G25" s="18">
        <f>TRIM(SUBSTITUTE(SUBSTITUTE(SUBSTITUTE(B25,_xlfn.UNICHAR(160)," "),_xlfn.UNICHAR(8207),""),_xlfn.UNICHAR(8206),""))</f>
        <v/>
      </c>
      <c r="H25" s="18">
        <f>IFERROR(INDEX(MAP[Acct],SUMPRODUCT(MATCH(1,--ISNUMBER(SEARCH(MAP[Keyword],G25)),0))),"UNMAPPED")</f>
        <v/>
      </c>
      <c r="I25" s="18">
        <f>IF(COUNTIFS($D$8:$D$108,D25,$F$8:$F$108,F25,$E$8:$E$108,E25)&gt;1,"DUP","")</f>
        <v/>
      </c>
    </row>
    <row r="26">
      <c r="A26" s="6">
        <f>'01_BANK_RAW'!A23</f>
        <v/>
      </c>
      <c r="B26" s="6">
        <f>'01_BANK_RAW'!B23</f>
        <v/>
      </c>
      <c r="C26" s="6">
        <f>'01_BANK_RAW'!C23</f>
        <v/>
      </c>
      <c r="D26" s="6">
        <f>'01_BANK_RAW'!D23</f>
        <v/>
      </c>
      <c r="E26" s="41">
        <f>_xlfn.LET(t,SUBSTITUTE(TRIM(A26),".","/"),d,VALUE(LEFT(t,FIND("/",t)-1)),r,MID(t,FIND("/",t)+1,20),m,VALUE(LEFT(r,FIND("/",r)-1)),y,VALUE(MID(r,FIND("/",r)+1,4)),DATE(IF(y&lt;100,2000+y,y),m,d))</f>
        <v/>
      </c>
      <c r="F26" s="17">
        <f>_xlfn.LET(t,SUBSTITUTE(C26,_xlfn.UNICHAR(160)," "),n,SUBSTITUTE(SUBSTITUTE(TRIM(t)," ",""),",",""),IF(LEFT(n,1)="(",-VALUE(SUBSTITUTE(SUBSTITUTE(n,"(",""),")","")),VALUE(n)))</f>
        <v/>
      </c>
      <c r="G26" s="18">
        <f>TRIM(SUBSTITUTE(SUBSTITUTE(SUBSTITUTE(B26,_xlfn.UNICHAR(160)," "),_xlfn.UNICHAR(8207),""),_xlfn.UNICHAR(8206),""))</f>
        <v/>
      </c>
      <c r="H26" s="18">
        <f>IFERROR(INDEX(MAP[Acct],SUMPRODUCT(MATCH(1,--ISNUMBER(SEARCH(MAP[Keyword],G26)),0))),"UNMAPPED")</f>
        <v/>
      </c>
      <c r="I26" s="18">
        <f>IF(COUNTIFS($D$8:$D$108,D26,$F$8:$F$108,F26,$E$8:$E$108,E26)&gt;1,"DUP","")</f>
        <v/>
      </c>
    </row>
    <row r="27">
      <c r="A27" s="6">
        <f>'01_BANK_RAW'!A24</f>
        <v/>
      </c>
      <c r="B27" s="6">
        <f>'01_BANK_RAW'!B24</f>
        <v/>
      </c>
      <c r="C27" s="6">
        <f>'01_BANK_RAW'!C24</f>
        <v/>
      </c>
      <c r="D27" s="6">
        <f>'01_BANK_RAW'!D24</f>
        <v/>
      </c>
      <c r="E27" s="41">
        <f>_xlfn.LET(t,SUBSTITUTE(TRIM(A27),".","/"),d,VALUE(LEFT(t,FIND("/",t)-1)),r,MID(t,FIND("/",t)+1,20),m,VALUE(LEFT(r,FIND("/",r)-1)),y,VALUE(MID(r,FIND("/",r)+1,4)),DATE(IF(y&lt;100,2000+y,y),m,d))</f>
        <v/>
      </c>
      <c r="F27" s="17">
        <f>_xlfn.LET(t,SUBSTITUTE(C27,_xlfn.UNICHAR(160)," "),n,SUBSTITUTE(SUBSTITUTE(TRIM(t)," ",""),",",""),IF(LEFT(n,1)="(",-VALUE(SUBSTITUTE(SUBSTITUTE(n,"(",""),")","")),VALUE(n)))</f>
        <v/>
      </c>
      <c r="G27" s="18">
        <f>TRIM(SUBSTITUTE(SUBSTITUTE(SUBSTITUTE(B27,_xlfn.UNICHAR(160)," "),_xlfn.UNICHAR(8207),""),_xlfn.UNICHAR(8206),""))</f>
        <v/>
      </c>
      <c r="H27" s="18">
        <f>IFERROR(INDEX(MAP[Acct],SUMPRODUCT(MATCH(1,--ISNUMBER(SEARCH(MAP[Keyword],G27)),0))),"UNMAPPED")</f>
        <v/>
      </c>
      <c r="I27" s="18">
        <f>IF(COUNTIFS($D$8:$D$108,D27,$F$8:$F$108,F27,$E$8:$E$108,E27)&gt;1,"DUP","")</f>
        <v/>
      </c>
    </row>
    <row r="28">
      <c r="A28" s="6">
        <f>'01_BANK_RAW'!A25</f>
        <v/>
      </c>
      <c r="B28" s="6">
        <f>'01_BANK_RAW'!B25</f>
        <v/>
      </c>
      <c r="C28" s="6">
        <f>'01_BANK_RAW'!C25</f>
        <v/>
      </c>
      <c r="D28" s="6">
        <f>'01_BANK_RAW'!D25</f>
        <v/>
      </c>
      <c r="E28" s="41">
        <f>_xlfn.LET(t,SUBSTITUTE(TRIM(A28),".","/"),d,VALUE(LEFT(t,FIND("/",t)-1)),r,MID(t,FIND("/",t)+1,20),m,VALUE(LEFT(r,FIND("/",r)-1)),y,VALUE(MID(r,FIND("/",r)+1,4)),DATE(IF(y&lt;100,2000+y,y),m,d))</f>
        <v/>
      </c>
      <c r="F28" s="17">
        <f>_xlfn.LET(t,SUBSTITUTE(C28,_xlfn.UNICHAR(160)," "),n,SUBSTITUTE(SUBSTITUTE(TRIM(t)," ",""),",",""),IF(LEFT(n,1)="(",-VALUE(SUBSTITUTE(SUBSTITUTE(n,"(",""),")","")),VALUE(n)))</f>
        <v/>
      </c>
      <c r="G28" s="18">
        <f>TRIM(SUBSTITUTE(SUBSTITUTE(SUBSTITUTE(B28,_xlfn.UNICHAR(160)," "),_xlfn.UNICHAR(8207),""),_xlfn.UNICHAR(8206),""))</f>
        <v/>
      </c>
      <c r="H28" s="18">
        <f>IFERROR(INDEX(MAP[Acct],SUMPRODUCT(MATCH(1,--ISNUMBER(SEARCH(MAP[Keyword],G28)),0))),"UNMAPPED")</f>
        <v/>
      </c>
      <c r="I28" s="18">
        <f>IF(COUNTIFS($D$8:$D$108,D28,$F$8:$F$108,F28,$E$8:$E$108,E28)&gt;1,"DUP","")</f>
        <v/>
      </c>
    </row>
    <row r="29">
      <c r="A29" s="6">
        <f>'01_BANK_RAW'!A26</f>
        <v/>
      </c>
      <c r="B29" s="6">
        <f>'01_BANK_RAW'!B26</f>
        <v/>
      </c>
      <c r="C29" s="6">
        <f>'01_BANK_RAW'!C26</f>
        <v/>
      </c>
      <c r="D29" s="6">
        <f>'01_BANK_RAW'!D26</f>
        <v/>
      </c>
      <c r="E29" s="41">
        <f>_xlfn.LET(t,SUBSTITUTE(TRIM(A29),".","/"),d,VALUE(LEFT(t,FIND("/",t)-1)),r,MID(t,FIND("/",t)+1,20),m,VALUE(LEFT(r,FIND("/",r)-1)),y,VALUE(MID(r,FIND("/",r)+1,4)),DATE(IF(y&lt;100,2000+y,y),m,d))</f>
        <v/>
      </c>
      <c r="F29" s="17">
        <f>_xlfn.LET(t,SUBSTITUTE(C29,_xlfn.UNICHAR(160)," "),n,SUBSTITUTE(SUBSTITUTE(TRIM(t)," ",""),",",""),IF(LEFT(n,1)="(",-VALUE(SUBSTITUTE(SUBSTITUTE(n,"(",""),")","")),VALUE(n)))</f>
        <v/>
      </c>
      <c r="G29" s="18">
        <f>TRIM(SUBSTITUTE(SUBSTITUTE(SUBSTITUTE(B29,_xlfn.UNICHAR(160)," "),_xlfn.UNICHAR(8207),""),_xlfn.UNICHAR(8206),""))</f>
        <v/>
      </c>
      <c r="H29" s="18">
        <f>IFERROR(INDEX(MAP[Acct],SUMPRODUCT(MATCH(1,--ISNUMBER(SEARCH(MAP[Keyword],G29)),0))),"UNMAPPED")</f>
        <v/>
      </c>
      <c r="I29" s="18">
        <f>IF(COUNTIFS($D$8:$D$108,D29,$F$8:$F$108,F29,$E$8:$E$108,E29)&gt;1,"DUP","")</f>
        <v/>
      </c>
    </row>
    <row r="30">
      <c r="A30" s="6">
        <f>'01_BANK_RAW'!A27</f>
        <v/>
      </c>
      <c r="B30" s="6">
        <f>'01_BANK_RAW'!B27</f>
        <v/>
      </c>
      <c r="C30" s="6">
        <f>'01_BANK_RAW'!C27</f>
        <v/>
      </c>
      <c r="D30" s="6">
        <f>'01_BANK_RAW'!D27</f>
        <v/>
      </c>
      <c r="E30" s="41">
        <f>_xlfn.LET(t,SUBSTITUTE(TRIM(A30),".","/"),d,VALUE(LEFT(t,FIND("/",t)-1)),r,MID(t,FIND("/",t)+1,20),m,VALUE(LEFT(r,FIND("/",r)-1)),y,VALUE(MID(r,FIND("/",r)+1,4)),DATE(IF(y&lt;100,2000+y,y),m,d))</f>
        <v/>
      </c>
      <c r="F30" s="17">
        <f>_xlfn.LET(t,SUBSTITUTE(C30,_xlfn.UNICHAR(160)," "),n,SUBSTITUTE(SUBSTITUTE(TRIM(t)," ",""),",",""),IF(LEFT(n,1)="(",-VALUE(SUBSTITUTE(SUBSTITUTE(n,"(",""),")","")),VALUE(n)))</f>
        <v/>
      </c>
      <c r="G30" s="18">
        <f>TRIM(SUBSTITUTE(SUBSTITUTE(SUBSTITUTE(B30,_xlfn.UNICHAR(160)," "),_xlfn.UNICHAR(8207),""),_xlfn.UNICHAR(8206),""))</f>
        <v/>
      </c>
      <c r="H30" s="18">
        <f>IFERROR(INDEX(MAP[Acct],SUMPRODUCT(MATCH(1,--ISNUMBER(SEARCH(MAP[Keyword],G30)),0))),"UNMAPPED")</f>
        <v/>
      </c>
      <c r="I30" s="18">
        <f>IF(COUNTIFS($D$8:$D$108,D30,$F$8:$F$108,F30,$E$8:$E$108,E30)&gt;1,"DUP","")</f>
        <v/>
      </c>
    </row>
    <row r="31">
      <c r="A31" s="6">
        <f>'01_BANK_RAW'!A28</f>
        <v/>
      </c>
      <c r="B31" s="6">
        <f>'01_BANK_RAW'!B28</f>
        <v/>
      </c>
      <c r="C31" s="6">
        <f>'01_BANK_RAW'!C28</f>
        <v/>
      </c>
      <c r="D31" s="6">
        <f>'01_BANK_RAW'!D28</f>
        <v/>
      </c>
      <c r="E31" s="41">
        <f>_xlfn.LET(t,SUBSTITUTE(TRIM(A31),".","/"),d,VALUE(LEFT(t,FIND("/",t)-1)),r,MID(t,FIND("/",t)+1,20),m,VALUE(LEFT(r,FIND("/",r)-1)),y,VALUE(MID(r,FIND("/",r)+1,4)),DATE(IF(y&lt;100,2000+y,y),m,d))</f>
        <v/>
      </c>
      <c r="F31" s="17">
        <f>_xlfn.LET(t,SUBSTITUTE(C31,_xlfn.UNICHAR(160)," "),n,SUBSTITUTE(SUBSTITUTE(TRIM(t)," ",""),",",""),IF(LEFT(n,1)="(",-VALUE(SUBSTITUTE(SUBSTITUTE(n,"(",""),")","")),VALUE(n)))</f>
        <v/>
      </c>
      <c r="G31" s="18">
        <f>TRIM(SUBSTITUTE(SUBSTITUTE(SUBSTITUTE(B31,_xlfn.UNICHAR(160)," "),_xlfn.UNICHAR(8207),""),_xlfn.UNICHAR(8206),""))</f>
        <v/>
      </c>
      <c r="H31" s="18">
        <f>IFERROR(INDEX(MAP[Acct],SUMPRODUCT(MATCH(1,--ISNUMBER(SEARCH(MAP[Keyword],G31)),0))),"UNMAPPED")</f>
        <v/>
      </c>
      <c r="I31" s="18">
        <f>IF(COUNTIFS($D$8:$D$108,D31,$F$8:$F$108,F31,$E$8:$E$108,E31)&gt;1,"DUP","")</f>
        <v/>
      </c>
    </row>
    <row r="32">
      <c r="A32" s="6">
        <f>'01_BANK_RAW'!A29</f>
        <v/>
      </c>
      <c r="B32" s="6">
        <f>'01_BANK_RAW'!B29</f>
        <v/>
      </c>
      <c r="C32" s="6">
        <f>'01_BANK_RAW'!C29</f>
        <v/>
      </c>
      <c r="D32" s="6">
        <f>'01_BANK_RAW'!D29</f>
        <v/>
      </c>
      <c r="E32" s="41">
        <f>_xlfn.LET(t,SUBSTITUTE(TRIM(A32),".","/"),d,VALUE(LEFT(t,FIND("/",t)-1)),r,MID(t,FIND("/",t)+1,20),m,VALUE(LEFT(r,FIND("/",r)-1)),y,VALUE(MID(r,FIND("/",r)+1,4)),DATE(IF(y&lt;100,2000+y,y),m,d))</f>
        <v/>
      </c>
      <c r="F32" s="17">
        <f>_xlfn.LET(t,SUBSTITUTE(C32,_xlfn.UNICHAR(160)," "),n,SUBSTITUTE(SUBSTITUTE(TRIM(t)," ",""),",",""),IF(LEFT(n,1)="(",-VALUE(SUBSTITUTE(SUBSTITUTE(n,"(",""),")","")),VALUE(n)))</f>
        <v/>
      </c>
      <c r="G32" s="18">
        <f>TRIM(SUBSTITUTE(SUBSTITUTE(SUBSTITUTE(B32,_xlfn.UNICHAR(160)," "),_xlfn.UNICHAR(8207),""),_xlfn.UNICHAR(8206),""))</f>
        <v/>
      </c>
      <c r="H32" s="18">
        <f>IFERROR(INDEX(MAP[Acct],SUMPRODUCT(MATCH(1,--ISNUMBER(SEARCH(MAP[Keyword],G32)),0))),"UNMAPPED")</f>
        <v/>
      </c>
      <c r="I32" s="18">
        <f>IF(COUNTIFS($D$8:$D$108,D32,$F$8:$F$108,F32,$E$8:$E$108,E32)&gt;1,"DUP","")</f>
        <v/>
      </c>
    </row>
    <row r="33">
      <c r="A33" s="6">
        <f>'01_BANK_RAW'!A30</f>
        <v/>
      </c>
      <c r="B33" s="6">
        <f>'01_BANK_RAW'!B30</f>
        <v/>
      </c>
      <c r="C33" s="6">
        <f>'01_BANK_RAW'!C30</f>
        <v/>
      </c>
      <c r="D33" s="6">
        <f>'01_BANK_RAW'!D30</f>
        <v/>
      </c>
      <c r="E33" s="41">
        <f>_xlfn.LET(t,SUBSTITUTE(TRIM(A33),".","/"),d,VALUE(LEFT(t,FIND("/",t)-1)),r,MID(t,FIND("/",t)+1,20),m,VALUE(LEFT(r,FIND("/",r)-1)),y,VALUE(MID(r,FIND("/",r)+1,4)),DATE(IF(y&lt;100,2000+y,y),m,d))</f>
        <v/>
      </c>
      <c r="F33" s="17">
        <f>_xlfn.LET(t,SUBSTITUTE(C33,_xlfn.UNICHAR(160)," "),n,SUBSTITUTE(SUBSTITUTE(TRIM(t)," ",""),",",""),IF(LEFT(n,1)="(",-VALUE(SUBSTITUTE(SUBSTITUTE(n,"(",""),")","")),VALUE(n)))</f>
        <v/>
      </c>
      <c r="G33" s="18">
        <f>TRIM(SUBSTITUTE(SUBSTITUTE(SUBSTITUTE(B33,_xlfn.UNICHAR(160)," "),_xlfn.UNICHAR(8207),""),_xlfn.UNICHAR(8206),""))</f>
        <v/>
      </c>
      <c r="H33" s="18">
        <f>IFERROR(INDEX(MAP[Acct],SUMPRODUCT(MATCH(1,--ISNUMBER(SEARCH(MAP[Keyword],G33)),0))),"UNMAPPED")</f>
        <v/>
      </c>
      <c r="I33" s="18">
        <f>IF(COUNTIFS($D$8:$D$108,D33,$F$8:$F$108,F33,$E$8:$E$108,E33)&gt;1,"DUP","")</f>
        <v/>
      </c>
    </row>
    <row r="34">
      <c r="A34" s="6">
        <f>'01_BANK_RAW'!A31</f>
        <v/>
      </c>
      <c r="B34" s="6">
        <f>'01_BANK_RAW'!B31</f>
        <v/>
      </c>
      <c r="C34" s="6">
        <f>'01_BANK_RAW'!C31</f>
        <v/>
      </c>
      <c r="D34" s="6">
        <f>'01_BANK_RAW'!D31</f>
        <v/>
      </c>
      <c r="E34" s="41">
        <f>_xlfn.LET(t,SUBSTITUTE(TRIM(A34),".","/"),d,VALUE(LEFT(t,FIND("/",t)-1)),r,MID(t,FIND("/",t)+1,20),m,VALUE(LEFT(r,FIND("/",r)-1)),y,VALUE(MID(r,FIND("/",r)+1,4)),DATE(IF(y&lt;100,2000+y,y),m,d))</f>
        <v/>
      </c>
      <c r="F34" s="17">
        <f>_xlfn.LET(t,SUBSTITUTE(C34,_xlfn.UNICHAR(160)," "),n,SUBSTITUTE(SUBSTITUTE(TRIM(t)," ",""),",",""),IF(LEFT(n,1)="(",-VALUE(SUBSTITUTE(SUBSTITUTE(n,"(",""),")","")),VALUE(n)))</f>
        <v/>
      </c>
      <c r="G34" s="18">
        <f>TRIM(SUBSTITUTE(SUBSTITUTE(SUBSTITUTE(B34,_xlfn.UNICHAR(160)," "),_xlfn.UNICHAR(8207),""),_xlfn.UNICHAR(8206),""))</f>
        <v/>
      </c>
      <c r="H34" s="18">
        <f>IFERROR(INDEX(MAP[Acct],SUMPRODUCT(MATCH(1,--ISNUMBER(SEARCH(MAP[Keyword],G34)),0))),"UNMAPPED")</f>
        <v/>
      </c>
      <c r="I34" s="18">
        <f>IF(COUNTIFS($D$8:$D$108,D34,$F$8:$F$108,F34,$E$8:$E$108,E34)&gt;1,"DUP","")</f>
        <v/>
      </c>
    </row>
    <row r="35">
      <c r="A35" s="6">
        <f>'01_BANK_RAW'!A32</f>
        <v/>
      </c>
      <c r="B35" s="6">
        <f>'01_BANK_RAW'!B32</f>
        <v/>
      </c>
      <c r="C35" s="6">
        <f>'01_BANK_RAW'!C32</f>
        <v/>
      </c>
      <c r="D35" s="6">
        <f>'01_BANK_RAW'!D32</f>
        <v/>
      </c>
      <c r="E35" s="41">
        <f>_xlfn.LET(t,SUBSTITUTE(TRIM(A35),".","/"),d,VALUE(LEFT(t,FIND("/",t)-1)),r,MID(t,FIND("/",t)+1,20),m,VALUE(LEFT(r,FIND("/",r)-1)),y,VALUE(MID(r,FIND("/",r)+1,4)),DATE(IF(y&lt;100,2000+y,y),m,d))</f>
        <v/>
      </c>
      <c r="F35" s="17">
        <f>_xlfn.LET(t,SUBSTITUTE(C35,_xlfn.UNICHAR(160)," "),n,SUBSTITUTE(SUBSTITUTE(TRIM(t)," ",""),",",""),IF(LEFT(n,1)="(",-VALUE(SUBSTITUTE(SUBSTITUTE(n,"(",""),")","")),VALUE(n)))</f>
        <v/>
      </c>
      <c r="G35" s="18">
        <f>TRIM(SUBSTITUTE(SUBSTITUTE(SUBSTITUTE(B35,_xlfn.UNICHAR(160)," "),_xlfn.UNICHAR(8207),""),_xlfn.UNICHAR(8206),""))</f>
        <v/>
      </c>
      <c r="H35" s="18">
        <f>IFERROR(INDEX(MAP[Acct],SUMPRODUCT(MATCH(1,--ISNUMBER(SEARCH(MAP[Keyword],G35)),0))),"UNMAPPED")</f>
        <v/>
      </c>
      <c r="I35" s="18">
        <f>IF(COUNTIFS($D$8:$D$108,D35,$F$8:$F$108,F35,$E$8:$E$108,E35)&gt;1,"DUP","")</f>
        <v/>
      </c>
    </row>
    <row r="36">
      <c r="A36" s="6">
        <f>'01_BANK_RAW'!A33</f>
        <v/>
      </c>
      <c r="B36" s="6">
        <f>'01_BANK_RAW'!B33</f>
        <v/>
      </c>
      <c r="C36" s="6">
        <f>'01_BANK_RAW'!C33</f>
        <v/>
      </c>
      <c r="D36" s="6">
        <f>'01_BANK_RAW'!D33</f>
        <v/>
      </c>
      <c r="E36" s="41">
        <f>_xlfn.LET(t,SUBSTITUTE(TRIM(A36),".","/"),d,VALUE(LEFT(t,FIND("/",t)-1)),r,MID(t,FIND("/",t)+1,20),m,VALUE(LEFT(r,FIND("/",r)-1)),y,VALUE(MID(r,FIND("/",r)+1,4)),DATE(IF(y&lt;100,2000+y,y),m,d))</f>
        <v/>
      </c>
      <c r="F36" s="17">
        <f>_xlfn.LET(t,SUBSTITUTE(C36,_xlfn.UNICHAR(160)," "),n,SUBSTITUTE(SUBSTITUTE(TRIM(t)," ",""),",",""),IF(LEFT(n,1)="(",-VALUE(SUBSTITUTE(SUBSTITUTE(n,"(",""),")","")),VALUE(n)))</f>
        <v/>
      </c>
      <c r="G36" s="18">
        <f>TRIM(SUBSTITUTE(SUBSTITUTE(SUBSTITUTE(B36,_xlfn.UNICHAR(160)," "),_xlfn.UNICHAR(8207),""),_xlfn.UNICHAR(8206),""))</f>
        <v/>
      </c>
      <c r="H36" s="18">
        <f>IFERROR(INDEX(MAP[Acct],SUMPRODUCT(MATCH(1,--ISNUMBER(SEARCH(MAP[Keyword],G36)),0))),"UNMAPPED")</f>
        <v/>
      </c>
      <c r="I36" s="18">
        <f>IF(COUNTIFS($D$8:$D$108,D36,$F$8:$F$108,F36,$E$8:$E$108,E36)&gt;1,"DUP","")</f>
        <v/>
      </c>
    </row>
    <row r="37">
      <c r="A37" s="6">
        <f>'01_BANK_RAW'!A34</f>
        <v/>
      </c>
      <c r="B37" s="6">
        <f>'01_BANK_RAW'!B34</f>
        <v/>
      </c>
      <c r="C37" s="6">
        <f>'01_BANK_RAW'!C34</f>
        <v/>
      </c>
      <c r="D37" s="6">
        <f>'01_BANK_RAW'!D34</f>
        <v/>
      </c>
      <c r="E37" s="41">
        <f>_xlfn.LET(t,SUBSTITUTE(TRIM(A37),".","/"),d,VALUE(LEFT(t,FIND("/",t)-1)),r,MID(t,FIND("/",t)+1,20),m,VALUE(LEFT(r,FIND("/",r)-1)),y,VALUE(MID(r,FIND("/",r)+1,4)),DATE(IF(y&lt;100,2000+y,y),m,d))</f>
        <v/>
      </c>
      <c r="F37" s="17">
        <f>_xlfn.LET(t,SUBSTITUTE(C37,_xlfn.UNICHAR(160)," "),n,SUBSTITUTE(SUBSTITUTE(TRIM(t)," ",""),",",""),IF(LEFT(n,1)="(",-VALUE(SUBSTITUTE(SUBSTITUTE(n,"(",""),")","")),VALUE(n)))</f>
        <v/>
      </c>
      <c r="G37" s="18">
        <f>TRIM(SUBSTITUTE(SUBSTITUTE(SUBSTITUTE(B37,_xlfn.UNICHAR(160)," "),_xlfn.UNICHAR(8207),""),_xlfn.UNICHAR(8206),""))</f>
        <v/>
      </c>
      <c r="H37" s="18">
        <f>IFERROR(INDEX(MAP[Acct],SUMPRODUCT(MATCH(1,--ISNUMBER(SEARCH(MAP[Keyword],G37)),0))),"UNMAPPED")</f>
        <v/>
      </c>
      <c r="I37" s="18">
        <f>IF(COUNTIFS($D$8:$D$108,D37,$F$8:$F$108,F37,$E$8:$E$108,E37)&gt;1,"DUP","")</f>
        <v/>
      </c>
    </row>
    <row r="38">
      <c r="A38" s="6">
        <f>'01_BANK_RAW'!A35</f>
        <v/>
      </c>
      <c r="B38" s="6">
        <f>'01_BANK_RAW'!B35</f>
        <v/>
      </c>
      <c r="C38" s="6">
        <f>'01_BANK_RAW'!C35</f>
        <v/>
      </c>
      <c r="D38" s="6">
        <f>'01_BANK_RAW'!D35</f>
        <v/>
      </c>
      <c r="E38" s="41">
        <f>_xlfn.LET(t,SUBSTITUTE(TRIM(A38),".","/"),d,VALUE(LEFT(t,FIND("/",t)-1)),r,MID(t,FIND("/",t)+1,20),m,VALUE(LEFT(r,FIND("/",r)-1)),y,VALUE(MID(r,FIND("/",r)+1,4)),DATE(IF(y&lt;100,2000+y,y),m,d))</f>
        <v/>
      </c>
      <c r="F38" s="17">
        <f>_xlfn.LET(t,SUBSTITUTE(C38,_xlfn.UNICHAR(160)," "),n,SUBSTITUTE(SUBSTITUTE(TRIM(t)," ",""),",",""),IF(LEFT(n,1)="(",-VALUE(SUBSTITUTE(SUBSTITUTE(n,"(",""),")","")),VALUE(n)))</f>
        <v/>
      </c>
      <c r="G38" s="18">
        <f>TRIM(SUBSTITUTE(SUBSTITUTE(SUBSTITUTE(B38,_xlfn.UNICHAR(160)," "),_xlfn.UNICHAR(8207),""),_xlfn.UNICHAR(8206),""))</f>
        <v/>
      </c>
      <c r="H38" s="18">
        <f>IFERROR(INDEX(MAP[Acct],SUMPRODUCT(MATCH(1,--ISNUMBER(SEARCH(MAP[Keyword],G38)),0))),"UNMAPPED")</f>
        <v/>
      </c>
      <c r="I38" s="18">
        <f>IF(COUNTIFS($D$8:$D$108,D38,$F$8:$F$108,F38,$E$8:$E$108,E38)&gt;1,"DUP","")</f>
        <v/>
      </c>
    </row>
    <row r="39">
      <c r="A39" s="6">
        <f>'01_BANK_RAW'!A36</f>
        <v/>
      </c>
      <c r="B39" s="6">
        <f>'01_BANK_RAW'!B36</f>
        <v/>
      </c>
      <c r="C39" s="6">
        <f>'01_BANK_RAW'!C36</f>
        <v/>
      </c>
      <c r="D39" s="6">
        <f>'01_BANK_RAW'!D36</f>
        <v/>
      </c>
      <c r="E39" s="41">
        <f>_xlfn.LET(t,SUBSTITUTE(TRIM(A39),".","/"),d,VALUE(LEFT(t,FIND("/",t)-1)),r,MID(t,FIND("/",t)+1,20),m,VALUE(LEFT(r,FIND("/",r)-1)),y,VALUE(MID(r,FIND("/",r)+1,4)),DATE(IF(y&lt;100,2000+y,y),m,d))</f>
        <v/>
      </c>
      <c r="F39" s="17">
        <f>_xlfn.LET(t,SUBSTITUTE(C39,_xlfn.UNICHAR(160)," "),n,SUBSTITUTE(SUBSTITUTE(TRIM(t)," ",""),",",""),IF(LEFT(n,1)="(",-VALUE(SUBSTITUTE(SUBSTITUTE(n,"(",""),")","")),VALUE(n)))</f>
        <v/>
      </c>
      <c r="G39" s="18">
        <f>TRIM(SUBSTITUTE(SUBSTITUTE(SUBSTITUTE(B39,_xlfn.UNICHAR(160)," "),_xlfn.UNICHAR(8207),""),_xlfn.UNICHAR(8206),""))</f>
        <v/>
      </c>
      <c r="H39" s="18">
        <f>IFERROR(INDEX(MAP[Acct],SUMPRODUCT(MATCH(1,--ISNUMBER(SEARCH(MAP[Keyword],G39)),0))),"UNMAPPED")</f>
        <v/>
      </c>
      <c r="I39" s="18">
        <f>IF(COUNTIFS($D$8:$D$108,D39,$F$8:$F$108,F39,$E$8:$E$108,E39)&gt;1,"DUP","")</f>
        <v/>
      </c>
    </row>
    <row r="40">
      <c r="A40" s="6">
        <f>'01_BANK_RAW'!A37</f>
        <v/>
      </c>
      <c r="B40" s="6">
        <f>'01_BANK_RAW'!B37</f>
        <v/>
      </c>
      <c r="C40" s="6">
        <f>'01_BANK_RAW'!C37</f>
        <v/>
      </c>
      <c r="D40" s="6">
        <f>'01_BANK_RAW'!D37</f>
        <v/>
      </c>
      <c r="E40" s="41">
        <f>_xlfn.LET(t,SUBSTITUTE(TRIM(A40),".","/"),d,VALUE(LEFT(t,FIND("/",t)-1)),r,MID(t,FIND("/",t)+1,20),m,VALUE(LEFT(r,FIND("/",r)-1)),y,VALUE(MID(r,FIND("/",r)+1,4)),DATE(IF(y&lt;100,2000+y,y),m,d))</f>
        <v/>
      </c>
      <c r="F40" s="17">
        <f>_xlfn.LET(t,SUBSTITUTE(C40,_xlfn.UNICHAR(160)," "),n,SUBSTITUTE(SUBSTITUTE(TRIM(t)," ",""),",",""),IF(LEFT(n,1)="(",-VALUE(SUBSTITUTE(SUBSTITUTE(n,"(",""),")","")),VALUE(n)))</f>
        <v/>
      </c>
      <c r="G40" s="18">
        <f>TRIM(SUBSTITUTE(SUBSTITUTE(SUBSTITUTE(B40,_xlfn.UNICHAR(160)," "),_xlfn.UNICHAR(8207),""),_xlfn.UNICHAR(8206),""))</f>
        <v/>
      </c>
      <c r="H40" s="18">
        <f>IFERROR(INDEX(MAP[Acct],SUMPRODUCT(MATCH(1,--ISNUMBER(SEARCH(MAP[Keyword],G40)),0))),"UNMAPPED")</f>
        <v/>
      </c>
      <c r="I40" s="18">
        <f>IF(COUNTIFS($D$8:$D$108,D40,$F$8:$F$108,F40,$E$8:$E$108,E40)&gt;1,"DUP","")</f>
        <v/>
      </c>
    </row>
    <row r="41">
      <c r="A41" s="6">
        <f>'01_BANK_RAW'!A38</f>
        <v/>
      </c>
      <c r="B41" s="6">
        <f>'01_BANK_RAW'!B38</f>
        <v/>
      </c>
      <c r="C41" s="6">
        <f>'01_BANK_RAW'!C38</f>
        <v/>
      </c>
      <c r="D41" s="6">
        <f>'01_BANK_RAW'!D38</f>
        <v/>
      </c>
      <c r="E41" s="41">
        <f>_xlfn.LET(t,SUBSTITUTE(TRIM(A41),".","/"),d,VALUE(LEFT(t,FIND("/",t)-1)),r,MID(t,FIND("/",t)+1,20),m,VALUE(LEFT(r,FIND("/",r)-1)),y,VALUE(MID(r,FIND("/",r)+1,4)),DATE(IF(y&lt;100,2000+y,y),m,d))</f>
        <v/>
      </c>
      <c r="F41" s="17">
        <f>_xlfn.LET(t,SUBSTITUTE(C41,_xlfn.UNICHAR(160)," "),n,SUBSTITUTE(SUBSTITUTE(TRIM(t)," ",""),",",""),IF(LEFT(n,1)="(",-VALUE(SUBSTITUTE(SUBSTITUTE(n,"(",""),")","")),VALUE(n)))</f>
        <v/>
      </c>
      <c r="G41" s="18">
        <f>TRIM(SUBSTITUTE(SUBSTITUTE(SUBSTITUTE(B41,_xlfn.UNICHAR(160)," "),_xlfn.UNICHAR(8207),""),_xlfn.UNICHAR(8206),""))</f>
        <v/>
      </c>
      <c r="H41" s="18">
        <f>IFERROR(INDEX(MAP[Acct],SUMPRODUCT(MATCH(1,--ISNUMBER(SEARCH(MAP[Keyword],G41)),0))),"UNMAPPED")</f>
        <v/>
      </c>
      <c r="I41" s="18">
        <f>IF(COUNTIFS($D$8:$D$108,D41,$F$8:$F$108,F41,$E$8:$E$108,E41)&gt;1,"DUP","")</f>
        <v/>
      </c>
    </row>
    <row r="42">
      <c r="A42" s="6">
        <f>'01_BANK_RAW'!A39</f>
        <v/>
      </c>
      <c r="B42" s="6">
        <f>'01_BANK_RAW'!B39</f>
        <v/>
      </c>
      <c r="C42" s="6">
        <f>'01_BANK_RAW'!C39</f>
        <v/>
      </c>
      <c r="D42" s="6">
        <f>'01_BANK_RAW'!D39</f>
        <v/>
      </c>
      <c r="E42" s="41">
        <f>_xlfn.LET(t,SUBSTITUTE(TRIM(A42),".","/"),d,VALUE(LEFT(t,FIND("/",t)-1)),r,MID(t,FIND("/",t)+1,20),m,VALUE(LEFT(r,FIND("/",r)-1)),y,VALUE(MID(r,FIND("/",r)+1,4)),DATE(IF(y&lt;100,2000+y,y),m,d))</f>
        <v/>
      </c>
      <c r="F42" s="17">
        <f>_xlfn.LET(t,SUBSTITUTE(C42,_xlfn.UNICHAR(160)," "),n,SUBSTITUTE(SUBSTITUTE(TRIM(t)," ",""),",",""),IF(LEFT(n,1)="(",-VALUE(SUBSTITUTE(SUBSTITUTE(n,"(",""),")","")),VALUE(n)))</f>
        <v/>
      </c>
      <c r="G42" s="18">
        <f>TRIM(SUBSTITUTE(SUBSTITUTE(SUBSTITUTE(B42,_xlfn.UNICHAR(160)," "),_xlfn.UNICHAR(8207),""),_xlfn.UNICHAR(8206),""))</f>
        <v/>
      </c>
      <c r="H42" s="18">
        <f>IFERROR(INDEX(MAP[Acct],SUMPRODUCT(MATCH(1,--ISNUMBER(SEARCH(MAP[Keyword],G42)),0))),"UNMAPPED")</f>
        <v/>
      </c>
      <c r="I42" s="18">
        <f>IF(COUNTIFS($D$8:$D$108,D42,$F$8:$F$108,F42,$E$8:$E$108,E42)&gt;1,"DUP","")</f>
        <v/>
      </c>
    </row>
    <row r="43">
      <c r="A43" s="6">
        <f>'01_BANK_RAW'!A40</f>
        <v/>
      </c>
      <c r="B43" s="6">
        <f>'01_BANK_RAW'!B40</f>
        <v/>
      </c>
      <c r="C43" s="6">
        <f>'01_BANK_RAW'!C40</f>
        <v/>
      </c>
      <c r="D43" s="6">
        <f>'01_BANK_RAW'!D40</f>
        <v/>
      </c>
      <c r="E43" s="41">
        <f>_xlfn.LET(t,SUBSTITUTE(TRIM(A43),".","/"),d,VALUE(LEFT(t,FIND("/",t)-1)),r,MID(t,FIND("/",t)+1,20),m,VALUE(LEFT(r,FIND("/",r)-1)),y,VALUE(MID(r,FIND("/",r)+1,4)),DATE(IF(y&lt;100,2000+y,y),m,d))</f>
        <v/>
      </c>
      <c r="F43" s="17">
        <f>_xlfn.LET(t,SUBSTITUTE(C43,_xlfn.UNICHAR(160)," "),n,SUBSTITUTE(SUBSTITUTE(TRIM(t)," ",""),",",""),IF(LEFT(n,1)="(",-VALUE(SUBSTITUTE(SUBSTITUTE(n,"(",""),")","")),VALUE(n)))</f>
        <v/>
      </c>
      <c r="G43" s="18">
        <f>TRIM(SUBSTITUTE(SUBSTITUTE(SUBSTITUTE(B43,_xlfn.UNICHAR(160)," "),_xlfn.UNICHAR(8207),""),_xlfn.UNICHAR(8206),""))</f>
        <v/>
      </c>
      <c r="H43" s="18">
        <f>IFERROR(INDEX(MAP[Acct],SUMPRODUCT(MATCH(1,--ISNUMBER(SEARCH(MAP[Keyword],G43)),0))),"UNMAPPED")</f>
        <v/>
      </c>
      <c r="I43" s="18">
        <f>IF(COUNTIFS($D$8:$D$108,D43,$F$8:$F$108,F43,$E$8:$E$108,E43)&gt;1,"DUP","")</f>
        <v/>
      </c>
    </row>
    <row r="44">
      <c r="A44" s="6">
        <f>'01_BANK_RAW'!A41</f>
        <v/>
      </c>
      <c r="B44" s="6">
        <f>'01_BANK_RAW'!B41</f>
        <v/>
      </c>
      <c r="C44" s="6">
        <f>'01_BANK_RAW'!C41</f>
        <v/>
      </c>
      <c r="D44" s="6">
        <f>'01_BANK_RAW'!D41</f>
        <v/>
      </c>
      <c r="E44" s="41">
        <f>_xlfn.LET(t,SUBSTITUTE(TRIM(A44),".","/"),d,VALUE(LEFT(t,FIND("/",t)-1)),r,MID(t,FIND("/",t)+1,20),m,VALUE(LEFT(r,FIND("/",r)-1)),y,VALUE(MID(r,FIND("/",r)+1,4)),DATE(IF(y&lt;100,2000+y,y),m,d))</f>
        <v/>
      </c>
      <c r="F44" s="17">
        <f>_xlfn.LET(t,SUBSTITUTE(C44,_xlfn.UNICHAR(160)," "),n,SUBSTITUTE(SUBSTITUTE(TRIM(t)," ",""),",",""),IF(LEFT(n,1)="(",-VALUE(SUBSTITUTE(SUBSTITUTE(n,"(",""),")","")),VALUE(n)))</f>
        <v/>
      </c>
      <c r="G44" s="18">
        <f>TRIM(SUBSTITUTE(SUBSTITUTE(SUBSTITUTE(B44,_xlfn.UNICHAR(160)," "),_xlfn.UNICHAR(8207),""),_xlfn.UNICHAR(8206),""))</f>
        <v/>
      </c>
      <c r="H44" s="18">
        <f>IFERROR(INDEX(MAP[Acct],SUMPRODUCT(MATCH(1,--ISNUMBER(SEARCH(MAP[Keyword],G44)),0))),"UNMAPPED")</f>
        <v/>
      </c>
      <c r="I44" s="18">
        <f>IF(COUNTIFS($D$8:$D$108,D44,$F$8:$F$108,F44,$E$8:$E$108,E44)&gt;1,"DUP","")</f>
        <v/>
      </c>
    </row>
    <row r="45">
      <c r="A45" s="6">
        <f>'01_BANK_RAW'!A42</f>
        <v/>
      </c>
      <c r="B45" s="6">
        <f>'01_BANK_RAW'!B42</f>
        <v/>
      </c>
      <c r="C45" s="6">
        <f>'01_BANK_RAW'!C42</f>
        <v/>
      </c>
      <c r="D45" s="6">
        <f>'01_BANK_RAW'!D42</f>
        <v/>
      </c>
      <c r="E45" s="41">
        <f>_xlfn.LET(t,SUBSTITUTE(TRIM(A45),".","/"),d,VALUE(LEFT(t,FIND("/",t)-1)),r,MID(t,FIND("/",t)+1,20),m,VALUE(LEFT(r,FIND("/",r)-1)),y,VALUE(MID(r,FIND("/",r)+1,4)),DATE(IF(y&lt;100,2000+y,y),m,d))</f>
        <v/>
      </c>
      <c r="F45" s="17">
        <f>_xlfn.LET(t,SUBSTITUTE(C45,_xlfn.UNICHAR(160)," "),n,SUBSTITUTE(SUBSTITUTE(TRIM(t)," ",""),",",""),IF(LEFT(n,1)="(",-VALUE(SUBSTITUTE(SUBSTITUTE(n,"(",""),")","")),VALUE(n)))</f>
        <v/>
      </c>
      <c r="G45" s="18">
        <f>TRIM(SUBSTITUTE(SUBSTITUTE(SUBSTITUTE(B45,_xlfn.UNICHAR(160)," "),_xlfn.UNICHAR(8207),""),_xlfn.UNICHAR(8206),""))</f>
        <v/>
      </c>
      <c r="H45" s="18">
        <f>IFERROR(INDEX(MAP[Acct],SUMPRODUCT(MATCH(1,--ISNUMBER(SEARCH(MAP[Keyword],G45)),0))),"UNMAPPED")</f>
        <v/>
      </c>
      <c r="I45" s="18">
        <f>IF(COUNTIFS($D$8:$D$108,D45,$F$8:$F$108,F45,$E$8:$E$108,E45)&gt;1,"DUP","")</f>
        <v/>
      </c>
    </row>
    <row r="46">
      <c r="A46" s="6">
        <f>'01_BANK_RAW'!A43</f>
        <v/>
      </c>
      <c r="B46" s="6">
        <f>'01_BANK_RAW'!B43</f>
        <v/>
      </c>
      <c r="C46" s="6">
        <f>'01_BANK_RAW'!C43</f>
        <v/>
      </c>
      <c r="D46" s="6">
        <f>'01_BANK_RAW'!D43</f>
        <v/>
      </c>
      <c r="E46" s="41">
        <f>_xlfn.LET(t,SUBSTITUTE(TRIM(A46),".","/"),d,VALUE(LEFT(t,FIND("/",t)-1)),r,MID(t,FIND("/",t)+1,20),m,VALUE(LEFT(r,FIND("/",r)-1)),y,VALUE(MID(r,FIND("/",r)+1,4)),DATE(IF(y&lt;100,2000+y,y),m,d))</f>
        <v/>
      </c>
      <c r="F46" s="17">
        <f>_xlfn.LET(t,SUBSTITUTE(C46,_xlfn.UNICHAR(160)," "),n,SUBSTITUTE(SUBSTITUTE(TRIM(t)," ",""),",",""),IF(LEFT(n,1)="(",-VALUE(SUBSTITUTE(SUBSTITUTE(n,"(",""),")","")),VALUE(n)))</f>
        <v/>
      </c>
      <c r="G46" s="18">
        <f>TRIM(SUBSTITUTE(SUBSTITUTE(SUBSTITUTE(B46,_xlfn.UNICHAR(160)," "),_xlfn.UNICHAR(8207),""),_xlfn.UNICHAR(8206),""))</f>
        <v/>
      </c>
      <c r="H46" s="18">
        <f>IFERROR(INDEX(MAP[Acct],SUMPRODUCT(MATCH(1,--ISNUMBER(SEARCH(MAP[Keyword],G46)),0))),"UNMAPPED")</f>
        <v/>
      </c>
      <c r="I46" s="18">
        <f>IF(COUNTIFS($D$8:$D$108,D46,$F$8:$F$108,F46,$E$8:$E$108,E46)&gt;1,"DUP","")</f>
        <v/>
      </c>
    </row>
    <row r="47">
      <c r="A47" s="6">
        <f>'01_BANK_RAW'!A44</f>
        <v/>
      </c>
      <c r="B47" s="6">
        <f>'01_BANK_RAW'!B44</f>
        <v/>
      </c>
      <c r="C47" s="6">
        <f>'01_BANK_RAW'!C44</f>
        <v/>
      </c>
      <c r="D47" s="6">
        <f>'01_BANK_RAW'!D44</f>
        <v/>
      </c>
      <c r="E47" s="41">
        <f>_xlfn.LET(t,SUBSTITUTE(TRIM(A47),".","/"),d,VALUE(LEFT(t,FIND("/",t)-1)),r,MID(t,FIND("/",t)+1,20),m,VALUE(LEFT(r,FIND("/",r)-1)),y,VALUE(MID(r,FIND("/",r)+1,4)),DATE(IF(y&lt;100,2000+y,y),m,d))</f>
        <v/>
      </c>
      <c r="F47" s="17">
        <f>_xlfn.LET(t,SUBSTITUTE(C47,_xlfn.UNICHAR(160)," "),n,SUBSTITUTE(SUBSTITUTE(TRIM(t)," ",""),",",""),IF(LEFT(n,1)="(",-VALUE(SUBSTITUTE(SUBSTITUTE(n,"(",""),")","")),VALUE(n)))</f>
        <v/>
      </c>
      <c r="G47" s="18">
        <f>TRIM(SUBSTITUTE(SUBSTITUTE(SUBSTITUTE(B47,_xlfn.UNICHAR(160)," "),_xlfn.UNICHAR(8207),""),_xlfn.UNICHAR(8206),""))</f>
        <v/>
      </c>
      <c r="H47" s="18">
        <f>IFERROR(INDEX(MAP[Acct],SUMPRODUCT(MATCH(1,--ISNUMBER(SEARCH(MAP[Keyword],G47)),0))),"UNMAPPED")</f>
        <v/>
      </c>
      <c r="I47" s="18">
        <f>IF(COUNTIFS($D$8:$D$108,D47,$F$8:$F$108,F47,$E$8:$E$108,E47)&gt;1,"DUP","")</f>
        <v/>
      </c>
    </row>
    <row r="48">
      <c r="A48" s="6">
        <f>'01_BANK_RAW'!A45</f>
        <v/>
      </c>
      <c r="B48" s="6">
        <f>'01_BANK_RAW'!B45</f>
        <v/>
      </c>
      <c r="C48" s="6">
        <f>'01_BANK_RAW'!C45</f>
        <v/>
      </c>
      <c r="D48" s="6">
        <f>'01_BANK_RAW'!D45</f>
        <v/>
      </c>
      <c r="E48" s="41">
        <f>_xlfn.LET(t,SUBSTITUTE(TRIM(A48),".","/"),d,VALUE(LEFT(t,FIND("/",t)-1)),r,MID(t,FIND("/",t)+1,20),m,VALUE(LEFT(r,FIND("/",r)-1)),y,VALUE(MID(r,FIND("/",r)+1,4)),DATE(IF(y&lt;100,2000+y,y),m,d))</f>
        <v/>
      </c>
      <c r="F48" s="17">
        <f>_xlfn.LET(t,SUBSTITUTE(C48,_xlfn.UNICHAR(160)," "),n,SUBSTITUTE(SUBSTITUTE(TRIM(t)," ",""),",",""),IF(LEFT(n,1)="(",-VALUE(SUBSTITUTE(SUBSTITUTE(n,"(",""),")","")),VALUE(n)))</f>
        <v/>
      </c>
      <c r="G48" s="18">
        <f>TRIM(SUBSTITUTE(SUBSTITUTE(SUBSTITUTE(B48,_xlfn.UNICHAR(160)," "),_xlfn.UNICHAR(8207),""),_xlfn.UNICHAR(8206),""))</f>
        <v/>
      </c>
      <c r="H48" s="18">
        <f>IFERROR(INDEX(MAP[Acct],SUMPRODUCT(MATCH(1,--ISNUMBER(SEARCH(MAP[Keyword],G48)),0))),"UNMAPPED")</f>
        <v/>
      </c>
      <c r="I48" s="18">
        <f>IF(COUNTIFS($D$8:$D$108,D48,$F$8:$F$108,F48,$E$8:$E$108,E48)&gt;1,"DUP","")</f>
        <v/>
      </c>
    </row>
    <row r="49">
      <c r="A49" s="6">
        <f>'01_BANK_RAW'!A46</f>
        <v/>
      </c>
      <c r="B49" s="6">
        <f>'01_BANK_RAW'!B46</f>
        <v/>
      </c>
      <c r="C49" s="6">
        <f>'01_BANK_RAW'!C46</f>
        <v/>
      </c>
      <c r="D49" s="6">
        <f>'01_BANK_RAW'!D46</f>
        <v/>
      </c>
      <c r="E49" s="41">
        <f>_xlfn.LET(t,SUBSTITUTE(TRIM(A49),".","/"),d,VALUE(LEFT(t,FIND("/",t)-1)),r,MID(t,FIND("/",t)+1,20),m,VALUE(LEFT(r,FIND("/",r)-1)),y,VALUE(MID(r,FIND("/",r)+1,4)),DATE(IF(y&lt;100,2000+y,y),m,d))</f>
        <v/>
      </c>
      <c r="F49" s="17">
        <f>_xlfn.LET(t,SUBSTITUTE(C49,_xlfn.UNICHAR(160)," "),n,SUBSTITUTE(SUBSTITUTE(TRIM(t)," ",""),",",""),IF(LEFT(n,1)="(",-VALUE(SUBSTITUTE(SUBSTITUTE(n,"(",""),")","")),VALUE(n)))</f>
        <v/>
      </c>
      <c r="G49" s="18">
        <f>TRIM(SUBSTITUTE(SUBSTITUTE(SUBSTITUTE(B49,_xlfn.UNICHAR(160)," "),_xlfn.UNICHAR(8207),""),_xlfn.UNICHAR(8206),""))</f>
        <v/>
      </c>
      <c r="H49" s="18">
        <f>IFERROR(INDEX(MAP[Acct],SUMPRODUCT(MATCH(1,--ISNUMBER(SEARCH(MAP[Keyword],G49)),0))),"UNMAPPED")</f>
        <v/>
      </c>
      <c r="I49" s="18">
        <f>IF(COUNTIFS($D$8:$D$108,D49,$F$8:$F$108,F49,$E$8:$E$108,E49)&gt;1,"DUP","")</f>
        <v/>
      </c>
    </row>
    <row r="50">
      <c r="A50" s="6">
        <f>'01_BANK_RAW'!A47</f>
        <v/>
      </c>
      <c r="B50" s="6">
        <f>'01_BANK_RAW'!B47</f>
        <v/>
      </c>
      <c r="C50" s="6">
        <f>'01_BANK_RAW'!C47</f>
        <v/>
      </c>
      <c r="D50" s="6">
        <f>'01_BANK_RAW'!D47</f>
        <v/>
      </c>
      <c r="E50" s="41">
        <f>_xlfn.LET(t,SUBSTITUTE(TRIM(A50),".","/"),d,VALUE(LEFT(t,FIND("/",t)-1)),r,MID(t,FIND("/",t)+1,20),m,VALUE(LEFT(r,FIND("/",r)-1)),y,VALUE(MID(r,FIND("/",r)+1,4)),DATE(IF(y&lt;100,2000+y,y),m,d))</f>
        <v/>
      </c>
      <c r="F50" s="17">
        <f>_xlfn.LET(t,SUBSTITUTE(C50,_xlfn.UNICHAR(160)," "),n,SUBSTITUTE(SUBSTITUTE(TRIM(t)," ",""),",",""),IF(LEFT(n,1)="(",-VALUE(SUBSTITUTE(SUBSTITUTE(n,"(",""),")","")),VALUE(n)))</f>
        <v/>
      </c>
      <c r="G50" s="18">
        <f>TRIM(SUBSTITUTE(SUBSTITUTE(SUBSTITUTE(B50,_xlfn.UNICHAR(160)," "),_xlfn.UNICHAR(8207),""),_xlfn.UNICHAR(8206),""))</f>
        <v/>
      </c>
      <c r="H50" s="18">
        <f>IFERROR(INDEX(MAP[Acct],SUMPRODUCT(MATCH(1,--ISNUMBER(SEARCH(MAP[Keyword],G50)),0))),"UNMAPPED")</f>
        <v/>
      </c>
      <c r="I50" s="18">
        <f>IF(COUNTIFS($D$8:$D$108,D50,$F$8:$F$108,F50,$E$8:$E$108,E50)&gt;1,"DUP","")</f>
        <v/>
      </c>
    </row>
    <row r="51">
      <c r="A51" s="6">
        <f>'01_BANK_RAW'!A48</f>
        <v/>
      </c>
      <c r="B51" s="6">
        <f>'01_BANK_RAW'!B48</f>
        <v/>
      </c>
      <c r="C51" s="6">
        <f>'01_BANK_RAW'!C48</f>
        <v/>
      </c>
      <c r="D51" s="6">
        <f>'01_BANK_RAW'!D48</f>
        <v/>
      </c>
      <c r="E51" s="41">
        <f>_xlfn.LET(t,SUBSTITUTE(TRIM(A51),".","/"),d,VALUE(LEFT(t,FIND("/",t)-1)),r,MID(t,FIND("/",t)+1,20),m,VALUE(LEFT(r,FIND("/",r)-1)),y,VALUE(MID(r,FIND("/",r)+1,4)),DATE(IF(y&lt;100,2000+y,y),m,d))</f>
        <v/>
      </c>
      <c r="F51" s="17">
        <f>_xlfn.LET(t,SUBSTITUTE(C51,_xlfn.UNICHAR(160)," "),n,SUBSTITUTE(SUBSTITUTE(TRIM(t)," ",""),",",""),IF(LEFT(n,1)="(",-VALUE(SUBSTITUTE(SUBSTITUTE(n,"(",""),")","")),VALUE(n)))</f>
        <v/>
      </c>
      <c r="G51" s="18">
        <f>TRIM(SUBSTITUTE(SUBSTITUTE(SUBSTITUTE(B51,_xlfn.UNICHAR(160)," "),_xlfn.UNICHAR(8207),""),_xlfn.UNICHAR(8206),""))</f>
        <v/>
      </c>
      <c r="H51" s="18">
        <f>IFERROR(INDEX(MAP[Acct],SUMPRODUCT(MATCH(1,--ISNUMBER(SEARCH(MAP[Keyword],G51)),0))),"UNMAPPED")</f>
        <v/>
      </c>
      <c r="I51" s="18">
        <f>IF(COUNTIFS($D$8:$D$108,D51,$F$8:$F$108,F51,$E$8:$E$108,E51)&gt;1,"DUP","")</f>
        <v/>
      </c>
    </row>
    <row r="52">
      <c r="A52" s="6">
        <f>'01_BANK_RAW'!A49</f>
        <v/>
      </c>
      <c r="B52" s="6">
        <f>'01_BANK_RAW'!B49</f>
        <v/>
      </c>
      <c r="C52" s="6">
        <f>'01_BANK_RAW'!C49</f>
        <v/>
      </c>
      <c r="D52" s="6">
        <f>'01_BANK_RAW'!D49</f>
        <v/>
      </c>
      <c r="E52" s="41">
        <f>_xlfn.LET(t,SUBSTITUTE(TRIM(A52),".","/"),d,VALUE(LEFT(t,FIND("/",t)-1)),r,MID(t,FIND("/",t)+1,20),m,VALUE(LEFT(r,FIND("/",r)-1)),y,VALUE(MID(r,FIND("/",r)+1,4)),DATE(IF(y&lt;100,2000+y,y),m,d))</f>
        <v/>
      </c>
      <c r="F52" s="17">
        <f>_xlfn.LET(t,SUBSTITUTE(C52,_xlfn.UNICHAR(160)," "),n,SUBSTITUTE(SUBSTITUTE(TRIM(t)," ",""),",",""),IF(LEFT(n,1)="(",-VALUE(SUBSTITUTE(SUBSTITUTE(n,"(",""),")","")),VALUE(n)))</f>
        <v/>
      </c>
      <c r="G52" s="18">
        <f>TRIM(SUBSTITUTE(SUBSTITUTE(SUBSTITUTE(B52,_xlfn.UNICHAR(160)," "),_xlfn.UNICHAR(8207),""),_xlfn.UNICHAR(8206),""))</f>
        <v/>
      </c>
      <c r="H52" s="18">
        <f>IFERROR(INDEX(MAP[Acct],SUMPRODUCT(MATCH(1,--ISNUMBER(SEARCH(MAP[Keyword],G52)),0))),"UNMAPPED")</f>
        <v/>
      </c>
      <c r="I52" s="18">
        <f>IF(COUNTIFS($D$8:$D$108,D52,$F$8:$F$108,F52,$E$8:$E$108,E52)&gt;1,"DUP","")</f>
        <v/>
      </c>
    </row>
    <row r="53">
      <c r="A53" s="6">
        <f>'01_BANK_RAW'!A50</f>
        <v/>
      </c>
      <c r="B53" s="6">
        <f>'01_BANK_RAW'!B50</f>
        <v/>
      </c>
      <c r="C53" s="6">
        <f>'01_BANK_RAW'!C50</f>
        <v/>
      </c>
      <c r="D53" s="6">
        <f>'01_BANK_RAW'!D50</f>
        <v/>
      </c>
      <c r="E53" s="41">
        <f>_xlfn.LET(t,SUBSTITUTE(TRIM(A53),".","/"),d,VALUE(LEFT(t,FIND("/",t)-1)),r,MID(t,FIND("/",t)+1,20),m,VALUE(LEFT(r,FIND("/",r)-1)),y,VALUE(MID(r,FIND("/",r)+1,4)),DATE(IF(y&lt;100,2000+y,y),m,d))</f>
        <v/>
      </c>
      <c r="F53" s="17">
        <f>_xlfn.LET(t,SUBSTITUTE(C53,_xlfn.UNICHAR(160)," "),n,SUBSTITUTE(SUBSTITUTE(TRIM(t)," ",""),",",""),IF(LEFT(n,1)="(",-VALUE(SUBSTITUTE(SUBSTITUTE(n,"(",""),")","")),VALUE(n)))</f>
        <v/>
      </c>
      <c r="G53" s="18">
        <f>TRIM(SUBSTITUTE(SUBSTITUTE(SUBSTITUTE(B53,_xlfn.UNICHAR(160)," "),_xlfn.UNICHAR(8207),""),_xlfn.UNICHAR(8206),""))</f>
        <v/>
      </c>
      <c r="H53" s="18">
        <f>IFERROR(INDEX(MAP[Acct],SUMPRODUCT(MATCH(1,--ISNUMBER(SEARCH(MAP[Keyword],G53)),0))),"UNMAPPED")</f>
        <v/>
      </c>
      <c r="I53" s="18">
        <f>IF(COUNTIFS($D$8:$D$108,D53,$F$8:$F$108,F53,$E$8:$E$108,E53)&gt;1,"DUP","")</f>
        <v/>
      </c>
    </row>
    <row r="54">
      <c r="A54" s="6">
        <f>'01_BANK_RAW'!A51</f>
        <v/>
      </c>
      <c r="B54" s="6">
        <f>'01_BANK_RAW'!B51</f>
        <v/>
      </c>
      <c r="C54" s="6">
        <f>'01_BANK_RAW'!C51</f>
        <v/>
      </c>
      <c r="D54" s="6">
        <f>'01_BANK_RAW'!D51</f>
        <v/>
      </c>
      <c r="E54" s="41">
        <f>_xlfn.LET(t,SUBSTITUTE(TRIM(A54),".","/"),d,VALUE(LEFT(t,FIND("/",t)-1)),r,MID(t,FIND("/",t)+1,20),m,VALUE(LEFT(r,FIND("/",r)-1)),y,VALUE(MID(r,FIND("/",r)+1,4)),DATE(IF(y&lt;100,2000+y,y),m,d))</f>
        <v/>
      </c>
      <c r="F54" s="17">
        <f>_xlfn.LET(t,SUBSTITUTE(C54,_xlfn.UNICHAR(160)," "),n,SUBSTITUTE(SUBSTITUTE(TRIM(t)," ",""),",",""),IF(LEFT(n,1)="(",-VALUE(SUBSTITUTE(SUBSTITUTE(n,"(",""),")","")),VALUE(n)))</f>
        <v/>
      </c>
      <c r="G54" s="18">
        <f>TRIM(SUBSTITUTE(SUBSTITUTE(SUBSTITUTE(B54,_xlfn.UNICHAR(160)," "),_xlfn.UNICHAR(8207),""),_xlfn.UNICHAR(8206),""))</f>
        <v/>
      </c>
      <c r="H54" s="18">
        <f>IFERROR(INDEX(MAP[Acct],SUMPRODUCT(MATCH(1,--ISNUMBER(SEARCH(MAP[Keyword],G54)),0))),"UNMAPPED")</f>
        <v/>
      </c>
      <c r="I54" s="18">
        <f>IF(COUNTIFS($D$8:$D$108,D54,$F$8:$F$108,F54,$E$8:$E$108,E54)&gt;1,"DUP","")</f>
        <v/>
      </c>
    </row>
    <row r="55">
      <c r="A55" s="6">
        <f>'01_BANK_RAW'!A52</f>
        <v/>
      </c>
      <c r="B55" s="6">
        <f>'01_BANK_RAW'!B52</f>
        <v/>
      </c>
      <c r="C55" s="6">
        <f>'01_BANK_RAW'!C52</f>
        <v/>
      </c>
      <c r="D55" s="6">
        <f>'01_BANK_RAW'!D52</f>
        <v/>
      </c>
      <c r="E55" s="41">
        <f>_xlfn.LET(t,SUBSTITUTE(TRIM(A55),".","/"),d,VALUE(LEFT(t,FIND("/",t)-1)),r,MID(t,FIND("/",t)+1,20),m,VALUE(LEFT(r,FIND("/",r)-1)),y,VALUE(MID(r,FIND("/",r)+1,4)),DATE(IF(y&lt;100,2000+y,y),m,d))</f>
        <v/>
      </c>
      <c r="F55" s="17">
        <f>_xlfn.LET(t,SUBSTITUTE(C55,_xlfn.UNICHAR(160)," "),n,SUBSTITUTE(SUBSTITUTE(TRIM(t)," ",""),",",""),IF(LEFT(n,1)="(",-VALUE(SUBSTITUTE(SUBSTITUTE(n,"(",""),")","")),VALUE(n)))</f>
        <v/>
      </c>
      <c r="G55" s="18">
        <f>TRIM(SUBSTITUTE(SUBSTITUTE(SUBSTITUTE(B55,_xlfn.UNICHAR(160)," "),_xlfn.UNICHAR(8207),""),_xlfn.UNICHAR(8206),""))</f>
        <v/>
      </c>
      <c r="H55" s="18">
        <f>IFERROR(INDEX(MAP[Acct],SUMPRODUCT(MATCH(1,--ISNUMBER(SEARCH(MAP[Keyword],G55)),0))),"UNMAPPED")</f>
        <v/>
      </c>
      <c r="I55" s="18">
        <f>IF(COUNTIFS($D$8:$D$108,D55,$F$8:$F$108,F55,$E$8:$E$108,E55)&gt;1,"DUP","")</f>
        <v/>
      </c>
    </row>
    <row r="56">
      <c r="A56" s="6">
        <f>'01_BANK_RAW'!A53</f>
        <v/>
      </c>
      <c r="B56" s="6">
        <f>'01_BANK_RAW'!B53</f>
        <v/>
      </c>
      <c r="C56" s="6">
        <f>'01_BANK_RAW'!C53</f>
        <v/>
      </c>
      <c r="D56" s="6">
        <f>'01_BANK_RAW'!D53</f>
        <v/>
      </c>
      <c r="E56" s="41">
        <f>_xlfn.LET(t,SUBSTITUTE(TRIM(A56),".","/"),d,VALUE(LEFT(t,FIND("/",t)-1)),r,MID(t,FIND("/",t)+1,20),m,VALUE(LEFT(r,FIND("/",r)-1)),y,VALUE(MID(r,FIND("/",r)+1,4)),DATE(IF(y&lt;100,2000+y,y),m,d))</f>
        <v/>
      </c>
      <c r="F56" s="17">
        <f>_xlfn.LET(t,SUBSTITUTE(C56,_xlfn.UNICHAR(160)," "),n,SUBSTITUTE(SUBSTITUTE(TRIM(t)," ",""),",",""),IF(LEFT(n,1)="(",-VALUE(SUBSTITUTE(SUBSTITUTE(n,"(",""),")","")),VALUE(n)))</f>
        <v/>
      </c>
      <c r="G56" s="18">
        <f>TRIM(SUBSTITUTE(SUBSTITUTE(SUBSTITUTE(B56,_xlfn.UNICHAR(160)," "),_xlfn.UNICHAR(8207),""),_xlfn.UNICHAR(8206),""))</f>
        <v/>
      </c>
      <c r="H56" s="18">
        <f>IFERROR(INDEX(MAP[Acct],SUMPRODUCT(MATCH(1,--ISNUMBER(SEARCH(MAP[Keyword],G56)),0))),"UNMAPPED")</f>
        <v/>
      </c>
      <c r="I56" s="18">
        <f>IF(COUNTIFS($D$8:$D$108,D56,$F$8:$F$108,F56,$E$8:$E$108,E56)&gt;1,"DUP","")</f>
        <v/>
      </c>
    </row>
    <row r="57">
      <c r="A57" s="6">
        <f>'01_BANK_RAW'!A54</f>
        <v/>
      </c>
      <c r="B57" s="6">
        <f>'01_BANK_RAW'!B54</f>
        <v/>
      </c>
      <c r="C57" s="6">
        <f>'01_BANK_RAW'!C54</f>
        <v/>
      </c>
      <c r="D57" s="6">
        <f>'01_BANK_RAW'!D54</f>
        <v/>
      </c>
      <c r="E57" s="41">
        <f>_xlfn.LET(t,SUBSTITUTE(TRIM(A57),".","/"),d,VALUE(LEFT(t,FIND("/",t)-1)),r,MID(t,FIND("/",t)+1,20),m,VALUE(LEFT(r,FIND("/",r)-1)),y,VALUE(MID(r,FIND("/",r)+1,4)),DATE(IF(y&lt;100,2000+y,y),m,d))</f>
        <v/>
      </c>
      <c r="F57" s="17">
        <f>_xlfn.LET(t,SUBSTITUTE(C57,_xlfn.UNICHAR(160)," "),n,SUBSTITUTE(SUBSTITUTE(TRIM(t)," ",""),",",""),IF(LEFT(n,1)="(",-VALUE(SUBSTITUTE(SUBSTITUTE(n,"(",""),")","")),VALUE(n)))</f>
        <v/>
      </c>
      <c r="G57" s="18">
        <f>TRIM(SUBSTITUTE(SUBSTITUTE(SUBSTITUTE(B57,_xlfn.UNICHAR(160)," "),_xlfn.UNICHAR(8207),""),_xlfn.UNICHAR(8206),""))</f>
        <v/>
      </c>
      <c r="H57" s="18">
        <f>IFERROR(INDEX(MAP[Acct],SUMPRODUCT(MATCH(1,--ISNUMBER(SEARCH(MAP[Keyword],G57)),0))),"UNMAPPED")</f>
        <v/>
      </c>
      <c r="I57" s="18">
        <f>IF(COUNTIFS($D$8:$D$108,D57,$F$8:$F$108,F57,$E$8:$E$108,E57)&gt;1,"DUP","")</f>
        <v/>
      </c>
    </row>
    <row r="58">
      <c r="A58" s="6">
        <f>'01_BANK_RAW'!A55</f>
        <v/>
      </c>
      <c r="B58" s="6">
        <f>'01_BANK_RAW'!B55</f>
        <v/>
      </c>
      <c r="C58" s="6">
        <f>'01_BANK_RAW'!C55</f>
        <v/>
      </c>
      <c r="D58" s="6">
        <f>'01_BANK_RAW'!D55</f>
        <v/>
      </c>
      <c r="E58" s="41">
        <f>_xlfn.LET(t,SUBSTITUTE(TRIM(A58),".","/"),d,VALUE(LEFT(t,FIND("/",t)-1)),r,MID(t,FIND("/",t)+1,20),m,VALUE(LEFT(r,FIND("/",r)-1)),y,VALUE(MID(r,FIND("/",r)+1,4)),DATE(IF(y&lt;100,2000+y,y),m,d))</f>
        <v/>
      </c>
      <c r="F58" s="17">
        <f>_xlfn.LET(t,SUBSTITUTE(C58,_xlfn.UNICHAR(160)," "),n,SUBSTITUTE(SUBSTITUTE(TRIM(t)," ",""),",",""),IF(LEFT(n,1)="(",-VALUE(SUBSTITUTE(SUBSTITUTE(n,"(",""),")","")),VALUE(n)))</f>
        <v/>
      </c>
      <c r="G58" s="18">
        <f>TRIM(SUBSTITUTE(SUBSTITUTE(SUBSTITUTE(B58,_xlfn.UNICHAR(160)," "),_xlfn.UNICHAR(8207),""),_xlfn.UNICHAR(8206),""))</f>
        <v/>
      </c>
      <c r="H58" s="18">
        <f>IFERROR(INDEX(MAP[Acct],SUMPRODUCT(MATCH(1,--ISNUMBER(SEARCH(MAP[Keyword],G58)),0))),"UNMAPPED")</f>
        <v/>
      </c>
      <c r="I58" s="18">
        <f>IF(COUNTIFS($D$8:$D$108,D58,$F$8:$F$108,F58,$E$8:$E$108,E58)&gt;1,"DUP","")</f>
        <v/>
      </c>
    </row>
    <row r="59">
      <c r="A59" s="6">
        <f>'01_BANK_RAW'!A56</f>
        <v/>
      </c>
      <c r="B59" s="6">
        <f>'01_BANK_RAW'!B56</f>
        <v/>
      </c>
      <c r="C59" s="6">
        <f>'01_BANK_RAW'!C56</f>
        <v/>
      </c>
      <c r="D59" s="6">
        <f>'01_BANK_RAW'!D56</f>
        <v/>
      </c>
      <c r="E59" s="41">
        <f>_xlfn.LET(t,SUBSTITUTE(TRIM(A59),".","/"),d,VALUE(LEFT(t,FIND("/",t)-1)),r,MID(t,FIND("/",t)+1,20),m,VALUE(LEFT(r,FIND("/",r)-1)),y,VALUE(MID(r,FIND("/",r)+1,4)),DATE(IF(y&lt;100,2000+y,y),m,d))</f>
        <v/>
      </c>
      <c r="F59" s="17">
        <f>_xlfn.LET(t,SUBSTITUTE(C59,_xlfn.UNICHAR(160)," "),n,SUBSTITUTE(SUBSTITUTE(TRIM(t)," ",""),",",""),IF(LEFT(n,1)="(",-VALUE(SUBSTITUTE(SUBSTITUTE(n,"(",""),")","")),VALUE(n)))</f>
        <v/>
      </c>
      <c r="G59" s="18">
        <f>TRIM(SUBSTITUTE(SUBSTITUTE(SUBSTITUTE(B59,_xlfn.UNICHAR(160)," "),_xlfn.UNICHAR(8207),""),_xlfn.UNICHAR(8206),""))</f>
        <v/>
      </c>
      <c r="H59" s="18">
        <f>IFERROR(INDEX(MAP[Acct],SUMPRODUCT(MATCH(1,--ISNUMBER(SEARCH(MAP[Keyword],G59)),0))),"UNMAPPED")</f>
        <v/>
      </c>
      <c r="I59" s="18">
        <f>IF(COUNTIFS($D$8:$D$108,D59,$F$8:$F$108,F59,$E$8:$E$108,E59)&gt;1,"DUP","")</f>
        <v/>
      </c>
    </row>
    <row r="60">
      <c r="A60" s="6">
        <f>'01_BANK_RAW'!A57</f>
        <v/>
      </c>
      <c r="B60" s="6">
        <f>'01_BANK_RAW'!B57</f>
        <v/>
      </c>
      <c r="C60" s="6">
        <f>'01_BANK_RAW'!C57</f>
        <v/>
      </c>
      <c r="D60" s="6">
        <f>'01_BANK_RAW'!D57</f>
        <v/>
      </c>
      <c r="E60" s="41">
        <f>_xlfn.LET(t,SUBSTITUTE(TRIM(A60),".","/"),d,VALUE(LEFT(t,FIND("/",t)-1)),r,MID(t,FIND("/",t)+1,20),m,VALUE(LEFT(r,FIND("/",r)-1)),y,VALUE(MID(r,FIND("/",r)+1,4)),DATE(IF(y&lt;100,2000+y,y),m,d))</f>
        <v/>
      </c>
      <c r="F60" s="17">
        <f>_xlfn.LET(t,SUBSTITUTE(C60,_xlfn.UNICHAR(160)," "),n,SUBSTITUTE(SUBSTITUTE(TRIM(t)," ",""),",",""),IF(LEFT(n,1)="(",-VALUE(SUBSTITUTE(SUBSTITUTE(n,"(",""),")","")),VALUE(n)))</f>
        <v/>
      </c>
      <c r="G60" s="18">
        <f>TRIM(SUBSTITUTE(SUBSTITUTE(SUBSTITUTE(B60,_xlfn.UNICHAR(160)," "),_xlfn.UNICHAR(8207),""),_xlfn.UNICHAR(8206),""))</f>
        <v/>
      </c>
      <c r="H60" s="18">
        <f>IFERROR(INDEX(MAP[Acct],SUMPRODUCT(MATCH(1,--ISNUMBER(SEARCH(MAP[Keyword],G60)),0))),"UNMAPPED")</f>
        <v/>
      </c>
      <c r="I60" s="18">
        <f>IF(COUNTIFS($D$8:$D$108,D60,$F$8:$F$108,F60,$E$8:$E$108,E60)&gt;1,"DUP","")</f>
        <v/>
      </c>
    </row>
    <row r="61">
      <c r="A61" s="6">
        <f>'01_BANK_RAW'!A58</f>
        <v/>
      </c>
      <c r="B61" s="6">
        <f>'01_BANK_RAW'!B58</f>
        <v/>
      </c>
      <c r="C61" s="6">
        <f>'01_BANK_RAW'!C58</f>
        <v/>
      </c>
      <c r="D61" s="6">
        <f>'01_BANK_RAW'!D58</f>
        <v/>
      </c>
      <c r="E61" s="41">
        <f>_xlfn.LET(t,SUBSTITUTE(TRIM(A61),".","/"),d,VALUE(LEFT(t,FIND("/",t)-1)),r,MID(t,FIND("/",t)+1,20),m,VALUE(LEFT(r,FIND("/",r)-1)),y,VALUE(MID(r,FIND("/",r)+1,4)),DATE(IF(y&lt;100,2000+y,y),m,d))</f>
        <v/>
      </c>
      <c r="F61" s="17">
        <f>_xlfn.LET(t,SUBSTITUTE(C61,_xlfn.UNICHAR(160)," "),n,SUBSTITUTE(SUBSTITUTE(TRIM(t)," ",""),",",""),IF(LEFT(n,1)="(",-VALUE(SUBSTITUTE(SUBSTITUTE(n,"(",""),")","")),VALUE(n)))</f>
        <v/>
      </c>
      <c r="G61" s="18">
        <f>TRIM(SUBSTITUTE(SUBSTITUTE(SUBSTITUTE(B61,_xlfn.UNICHAR(160)," "),_xlfn.UNICHAR(8207),""),_xlfn.UNICHAR(8206),""))</f>
        <v/>
      </c>
      <c r="H61" s="18">
        <f>IFERROR(INDEX(MAP[Acct],SUMPRODUCT(MATCH(1,--ISNUMBER(SEARCH(MAP[Keyword],G61)),0))),"UNMAPPED")</f>
        <v/>
      </c>
      <c r="I61" s="18">
        <f>IF(COUNTIFS($D$8:$D$108,D61,$F$8:$F$108,F61,$E$8:$E$108,E61)&gt;1,"DUP","")</f>
        <v/>
      </c>
    </row>
    <row r="62">
      <c r="A62" s="6">
        <f>'01_BANK_RAW'!A59</f>
        <v/>
      </c>
      <c r="B62" s="6">
        <f>'01_BANK_RAW'!B59</f>
        <v/>
      </c>
      <c r="C62" s="6">
        <f>'01_BANK_RAW'!C59</f>
        <v/>
      </c>
      <c r="D62" s="6">
        <f>'01_BANK_RAW'!D59</f>
        <v/>
      </c>
      <c r="E62" s="41">
        <f>_xlfn.LET(t,SUBSTITUTE(TRIM(A62),".","/"),d,VALUE(LEFT(t,FIND("/",t)-1)),r,MID(t,FIND("/",t)+1,20),m,VALUE(LEFT(r,FIND("/",r)-1)),y,VALUE(MID(r,FIND("/",r)+1,4)),DATE(IF(y&lt;100,2000+y,y),m,d))</f>
        <v/>
      </c>
      <c r="F62" s="17">
        <f>_xlfn.LET(t,SUBSTITUTE(C62,_xlfn.UNICHAR(160)," "),n,SUBSTITUTE(SUBSTITUTE(TRIM(t)," ",""),",",""),IF(LEFT(n,1)="(",-VALUE(SUBSTITUTE(SUBSTITUTE(n,"(",""),")","")),VALUE(n)))</f>
        <v/>
      </c>
      <c r="G62" s="18">
        <f>TRIM(SUBSTITUTE(SUBSTITUTE(SUBSTITUTE(B62,_xlfn.UNICHAR(160)," "),_xlfn.UNICHAR(8207),""),_xlfn.UNICHAR(8206),""))</f>
        <v/>
      </c>
      <c r="H62" s="18">
        <f>IFERROR(INDEX(MAP[Acct],SUMPRODUCT(MATCH(1,--ISNUMBER(SEARCH(MAP[Keyword],G62)),0))),"UNMAPPED")</f>
        <v/>
      </c>
      <c r="I62" s="18">
        <f>IF(COUNTIFS($D$8:$D$108,D62,$F$8:$F$108,F62,$E$8:$E$108,E62)&gt;1,"DUP","")</f>
        <v/>
      </c>
    </row>
    <row r="63">
      <c r="A63" s="6">
        <f>'01_BANK_RAW'!A60</f>
        <v/>
      </c>
      <c r="B63" s="6">
        <f>'01_BANK_RAW'!B60</f>
        <v/>
      </c>
      <c r="C63" s="6">
        <f>'01_BANK_RAW'!C60</f>
        <v/>
      </c>
      <c r="D63" s="6">
        <f>'01_BANK_RAW'!D60</f>
        <v/>
      </c>
      <c r="E63" s="41">
        <f>_xlfn.LET(t,SUBSTITUTE(TRIM(A63),".","/"),d,VALUE(LEFT(t,FIND("/",t)-1)),r,MID(t,FIND("/",t)+1,20),m,VALUE(LEFT(r,FIND("/",r)-1)),y,VALUE(MID(r,FIND("/",r)+1,4)),DATE(IF(y&lt;100,2000+y,y),m,d))</f>
        <v/>
      </c>
      <c r="F63" s="17">
        <f>_xlfn.LET(t,SUBSTITUTE(C63,_xlfn.UNICHAR(160)," "),n,SUBSTITUTE(SUBSTITUTE(TRIM(t)," ",""),",",""),IF(LEFT(n,1)="(",-VALUE(SUBSTITUTE(SUBSTITUTE(n,"(",""),")","")),VALUE(n)))</f>
        <v/>
      </c>
      <c r="G63" s="18">
        <f>TRIM(SUBSTITUTE(SUBSTITUTE(SUBSTITUTE(B63,_xlfn.UNICHAR(160)," "),_xlfn.UNICHAR(8207),""),_xlfn.UNICHAR(8206),""))</f>
        <v/>
      </c>
      <c r="H63" s="18">
        <f>IFERROR(INDEX(MAP[Acct],SUMPRODUCT(MATCH(1,--ISNUMBER(SEARCH(MAP[Keyword],G63)),0))),"UNMAPPED")</f>
        <v/>
      </c>
      <c r="I63" s="18">
        <f>IF(COUNTIFS($D$8:$D$108,D63,$F$8:$F$108,F63,$E$8:$E$108,E63)&gt;1,"DUP","")</f>
        <v/>
      </c>
    </row>
    <row r="64">
      <c r="A64" s="6">
        <f>'01_BANK_RAW'!A61</f>
        <v/>
      </c>
      <c r="B64" s="6">
        <f>'01_BANK_RAW'!B61</f>
        <v/>
      </c>
      <c r="C64" s="6">
        <f>'01_BANK_RAW'!C61</f>
        <v/>
      </c>
      <c r="D64" s="6">
        <f>'01_BANK_RAW'!D61</f>
        <v/>
      </c>
      <c r="E64" s="41">
        <f>_xlfn.LET(t,SUBSTITUTE(TRIM(A64),".","/"),d,VALUE(LEFT(t,FIND("/",t)-1)),r,MID(t,FIND("/",t)+1,20),m,VALUE(LEFT(r,FIND("/",r)-1)),y,VALUE(MID(r,FIND("/",r)+1,4)),DATE(IF(y&lt;100,2000+y,y),m,d))</f>
        <v/>
      </c>
      <c r="F64" s="17">
        <f>_xlfn.LET(t,SUBSTITUTE(C64,_xlfn.UNICHAR(160)," "),n,SUBSTITUTE(SUBSTITUTE(TRIM(t)," ",""),",",""),IF(LEFT(n,1)="(",-VALUE(SUBSTITUTE(SUBSTITUTE(n,"(",""),")","")),VALUE(n)))</f>
        <v/>
      </c>
      <c r="G64" s="18">
        <f>TRIM(SUBSTITUTE(SUBSTITUTE(SUBSTITUTE(B64,_xlfn.UNICHAR(160)," "),_xlfn.UNICHAR(8207),""),_xlfn.UNICHAR(8206),""))</f>
        <v/>
      </c>
      <c r="H64" s="18">
        <f>IFERROR(INDEX(MAP[Acct],SUMPRODUCT(MATCH(1,--ISNUMBER(SEARCH(MAP[Keyword],G64)),0))),"UNMAPPED")</f>
        <v/>
      </c>
      <c r="I64" s="18">
        <f>IF(COUNTIFS($D$8:$D$108,D64,$F$8:$F$108,F64,$E$8:$E$108,E64)&gt;1,"DUP","")</f>
        <v/>
      </c>
    </row>
    <row r="65">
      <c r="A65" s="6">
        <f>'01_BANK_RAW'!A62</f>
        <v/>
      </c>
      <c r="B65" s="6">
        <f>'01_BANK_RAW'!B62</f>
        <v/>
      </c>
      <c r="C65" s="6">
        <f>'01_BANK_RAW'!C62</f>
        <v/>
      </c>
      <c r="D65" s="6">
        <f>'01_BANK_RAW'!D62</f>
        <v/>
      </c>
      <c r="E65" s="41">
        <f>_xlfn.LET(t,SUBSTITUTE(TRIM(A65),".","/"),d,VALUE(LEFT(t,FIND("/",t)-1)),r,MID(t,FIND("/",t)+1,20),m,VALUE(LEFT(r,FIND("/",r)-1)),y,VALUE(MID(r,FIND("/",r)+1,4)),DATE(IF(y&lt;100,2000+y,y),m,d))</f>
        <v/>
      </c>
      <c r="F65" s="17">
        <f>_xlfn.LET(t,SUBSTITUTE(C65,_xlfn.UNICHAR(160)," "),n,SUBSTITUTE(SUBSTITUTE(TRIM(t)," ",""),",",""),IF(LEFT(n,1)="(",-VALUE(SUBSTITUTE(SUBSTITUTE(n,"(",""),")","")),VALUE(n)))</f>
        <v/>
      </c>
      <c r="G65" s="18">
        <f>TRIM(SUBSTITUTE(SUBSTITUTE(SUBSTITUTE(B65,_xlfn.UNICHAR(160)," "),_xlfn.UNICHAR(8207),""),_xlfn.UNICHAR(8206),""))</f>
        <v/>
      </c>
      <c r="H65" s="18">
        <f>IFERROR(INDEX(MAP[Acct],SUMPRODUCT(MATCH(1,--ISNUMBER(SEARCH(MAP[Keyword],G65)),0))),"UNMAPPED")</f>
        <v/>
      </c>
      <c r="I65" s="18">
        <f>IF(COUNTIFS($D$8:$D$108,D65,$F$8:$F$108,F65,$E$8:$E$108,E65)&gt;1,"DUP","")</f>
        <v/>
      </c>
    </row>
    <row r="66">
      <c r="A66" s="6">
        <f>'01_BANK_RAW'!A63</f>
        <v/>
      </c>
      <c r="B66" s="6">
        <f>'01_BANK_RAW'!B63</f>
        <v/>
      </c>
      <c r="C66" s="6">
        <f>'01_BANK_RAW'!C63</f>
        <v/>
      </c>
      <c r="D66" s="6">
        <f>'01_BANK_RAW'!D63</f>
        <v/>
      </c>
      <c r="E66" s="41">
        <f>_xlfn.LET(t,SUBSTITUTE(TRIM(A66),".","/"),d,VALUE(LEFT(t,FIND("/",t)-1)),r,MID(t,FIND("/",t)+1,20),m,VALUE(LEFT(r,FIND("/",r)-1)),y,VALUE(MID(r,FIND("/",r)+1,4)),DATE(IF(y&lt;100,2000+y,y),m,d))</f>
        <v/>
      </c>
      <c r="F66" s="17">
        <f>_xlfn.LET(t,SUBSTITUTE(C66,_xlfn.UNICHAR(160)," "),n,SUBSTITUTE(SUBSTITUTE(TRIM(t)," ",""),",",""),IF(LEFT(n,1)="(",-VALUE(SUBSTITUTE(SUBSTITUTE(n,"(",""),")","")),VALUE(n)))</f>
        <v/>
      </c>
      <c r="G66" s="18">
        <f>TRIM(SUBSTITUTE(SUBSTITUTE(SUBSTITUTE(B66,_xlfn.UNICHAR(160)," "),_xlfn.UNICHAR(8207),""),_xlfn.UNICHAR(8206),""))</f>
        <v/>
      </c>
      <c r="H66" s="18">
        <f>IFERROR(INDEX(MAP[Acct],SUMPRODUCT(MATCH(1,--ISNUMBER(SEARCH(MAP[Keyword],G66)),0))),"UNMAPPED")</f>
        <v/>
      </c>
      <c r="I66" s="18">
        <f>IF(COUNTIFS($D$8:$D$108,D66,$F$8:$F$108,F66,$E$8:$E$108,E66)&gt;1,"DUP","")</f>
        <v/>
      </c>
    </row>
    <row r="67">
      <c r="A67" s="6">
        <f>'01_BANK_RAW'!A64</f>
        <v/>
      </c>
      <c r="B67" s="6">
        <f>'01_BANK_RAW'!B64</f>
        <v/>
      </c>
      <c r="C67" s="6">
        <f>'01_BANK_RAW'!C64</f>
        <v/>
      </c>
      <c r="D67" s="6">
        <f>'01_BANK_RAW'!D64</f>
        <v/>
      </c>
      <c r="E67" s="41">
        <f>_xlfn.LET(t,SUBSTITUTE(TRIM(A67),".","/"),d,VALUE(LEFT(t,FIND("/",t)-1)),r,MID(t,FIND("/",t)+1,20),m,VALUE(LEFT(r,FIND("/",r)-1)),y,VALUE(MID(r,FIND("/",r)+1,4)),DATE(IF(y&lt;100,2000+y,y),m,d))</f>
        <v/>
      </c>
      <c r="F67" s="17">
        <f>_xlfn.LET(t,SUBSTITUTE(C67,_xlfn.UNICHAR(160)," "),n,SUBSTITUTE(SUBSTITUTE(TRIM(t)," ",""),",",""),IF(LEFT(n,1)="(",-VALUE(SUBSTITUTE(SUBSTITUTE(n,"(",""),")","")),VALUE(n)))</f>
        <v/>
      </c>
      <c r="G67" s="18">
        <f>TRIM(SUBSTITUTE(SUBSTITUTE(SUBSTITUTE(B67,_xlfn.UNICHAR(160)," "),_xlfn.UNICHAR(8207),""),_xlfn.UNICHAR(8206),""))</f>
        <v/>
      </c>
      <c r="H67" s="18">
        <f>IFERROR(INDEX(MAP[Acct],SUMPRODUCT(MATCH(1,--ISNUMBER(SEARCH(MAP[Keyword],G67)),0))),"UNMAPPED")</f>
        <v/>
      </c>
      <c r="I67" s="18">
        <f>IF(COUNTIFS($D$8:$D$108,D67,$F$8:$F$108,F67,$E$8:$E$108,E67)&gt;1,"DUP","")</f>
        <v/>
      </c>
    </row>
    <row r="68">
      <c r="A68" s="6">
        <f>'01_BANK_RAW'!A65</f>
        <v/>
      </c>
      <c r="B68" s="6">
        <f>'01_BANK_RAW'!B65</f>
        <v/>
      </c>
      <c r="C68" s="6">
        <f>'01_BANK_RAW'!C65</f>
        <v/>
      </c>
      <c r="D68" s="6">
        <f>'01_BANK_RAW'!D65</f>
        <v/>
      </c>
      <c r="E68" s="41">
        <f>_xlfn.LET(t,SUBSTITUTE(TRIM(A68),".","/"),d,VALUE(LEFT(t,FIND("/",t)-1)),r,MID(t,FIND("/",t)+1,20),m,VALUE(LEFT(r,FIND("/",r)-1)),y,VALUE(MID(r,FIND("/",r)+1,4)),DATE(IF(y&lt;100,2000+y,y),m,d))</f>
        <v/>
      </c>
      <c r="F68" s="17">
        <f>_xlfn.LET(t,SUBSTITUTE(C68,_xlfn.UNICHAR(160)," "),n,SUBSTITUTE(SUBSTITUTE(TRIM(t)," ",""),",",""),IF(LEFT(n,1)="(",-VALUE(SUBSTITUTE(SUBSTITUTE(n,"(",""),")","")),VALUE(n)))</f>
        <v/>
      </c>
      <c r="G68" s="18">
        <f>TRIM(SUBSTITUTE(SUBSTITUTE(SUBSTITUTE(B68,_xlfn.UNICHAR(160)," "),_xlfn.UNICHAR(8207),""),_xlfn.UNICHAR(8206),""))</f>
        <v/>
      </c>
      <c r="H68" s="18">
        <f>IFERROR(INDEX(MAP[Acct],SUMPRODUCT(MATCH(1,--ISNUMBER(SEARCH(MAP[Keyword],G68)),0))),"UNMAPPED")</f>
        <v/>
      </c>
      <c r="I68" s="18">
        <f>IF(COUNTIFS($D$8:$D$108,D68,$F$8:$F$108,F68,$E$8:$E$108,E68)&gt;1,"DUP","")</f>
        <v/>
      </c>
    </row>
    <row r="69">
      <c r="A69" s="6">
        <f>'01_BANK_RAW'!A66</f>
        <v/>
      </c>
      <c r="B69" s="6">
        <f>'01_BANK_RAW'!B66</f>
        <v/>
      </c>
      <c r="C69" s="6">
        <f>'01_BANK_RAW'!C66</f>
        <v/>
      </c>
      <c r="D69" s="6">
        <f>'01_BANK_RAW'!D66</f>
        <v/>
      </c>
      <c r="E69" s="41">
        <f>_xlfn.LET(t,SUBSTITUTE(TRIM(A69),".","/"),d,VALUE(LEFT(t,FIND("/",t)-1)),r,MID(t,FIND("/",t)+1,20),m,VALUE(LEFT(r,FIND("/",r)-1)),y,VALUE(MID(r,FIND("/",r)+1,4)),DATE(IF(y&lt;100,2000+y,y),m,d))</f>
        <v/>
      </c>
      <c r="F69" s="17">
        <f>_xlfn.LET(t,SUBSTITUTE(C69,_xlfn.UNICHAR(160)," "),n,SUBSTITUTE(SUBSTITUTE(TRIM(t)," ",""),",",""),IF(LEFT(n,1)="(",-VALUE(SUBSTITUTE(SUBSTITUTE(n,"(",""),")","")),VALUE(n)))</f>
        <v/>
      </c>
      <c r="G69" s="18">
        <f>TRIM(SUBSTITUTE(SUBSTITUTE(SUBSTITUTE(B69,_xlfn.UNICHAR(160)," "),_xlfn.UNICHAR(8207),""),_xlfn.UNICHAR(8206),""))</f>
        <v/>
      </c>
      <c r="H69" s="18">
        <f>IFERROR(INDEX(MAP[Acct],SUMPRODUCT(MATCH(1,--ISNUMBER(SEARCH(MAP[Keyword],G69)),0))),"UNMAPPED")</f>
        <v/>
      </c>
      <c r="I69" s="18">
        <f>IF(COUNTIFS($D$8:$D$108,D69,$F$8:$F$108,F69,$E$8:$E$108,E69)&gt;1,"DUP","")</f>
        <v/>
      </c>
    </row>
    <row r="70">
      <c r="A70" s="6">
        <f>'01_BANK_RAW'!A67</f>
        <v/>
      </c>
      <c r="B70" s="6">
        <f>'01_BANK_RAW'!B67</f>
        <v/>
      </c>
      <c r="C70" s="6">
        <f>'01_BANK_RAW'!C67</f>
        <v/>
      </c>
      <c r="D70" s="6">
        <f>'01_BANK_RAW'!D67</f>
        <v/>
      </c>
      <c r="E70" s="41">
        <f>_xlfn.LET(t,SUBSTITUTE(TRIM(A70),".","/"),d,VALUE(LEFT(t,FIND("/",t)-1)),r,MID(t,FIND("/",t)+1,20),m,VALUE(LEFT(r,FIND("/",r)-1)),y,VALUE(MID(r,FIND("/",r)+1,4)),DATE(IF(y&lt;100,2000+y,y),m,d))</f>
        <v/>
      </c>
      <c r="F70" s="17">
        <f>_xlfn.LET(t,SUBSTITUTE(C70,_xlfn.UNICHAR(160)," "),n,SUBSTITUTE(SUBSTITUTE(TRIM(t)," ",""),",",""),IF(LEFT(n,1)="(",-VALUE(SUBSTITUTE(SUBSTITUTE(n,"(",""),")","")),VALUE(n)))</f>
        <v/>
      </c>
      <c r="G70" s="18">
        <f>TRIM(SUBSTITUTE(SUBSTITUTE(SUBSTITUTE(B70,_xlfn.UNICHAR(160)," "),_xlfn.UNICHAR(8207),""),_xlfn.UNICHAR(8206),""))</f>
        <v/>
      </c>
      <c r="H70" s="18">
        <f>IFERROR(INDEX(MAP[Acct],SUMPRODUCT(MATCH(1,--ISNUMBER(SEARCH(MAP[Keyword],G70)),0))),"UNMAPPED")</f>
        <v/>
      </c>
      <c r="I70" s="18">
        <f>IF(COUNTIFS($D$8:$D$108,D70,$F$8:$F$108,F70,$E$8:$E$108,E70)&gt;1,"DUP","")</f>
        <v/>
      </c>
    </row>
    <row r="71">
      <c r="A71" s="6">
        <f>'01_BANK_RAW'!A68</f>
        <v/>
      </c>
      <c r="B71" s="6">
        <f>'01_BANK_RAW'!B68</f>
        <v/>
      </c>
      <c r="C71" s="6">
        <f>'01_BANK_RAW'!C68</f>
        <v/>
      </c>
      <c r="D71" s="6">
        <f>'01_BANK_RAW'!D68</f>
        <v/>
      </c>
      <c r="E71" s="41">
        <f>_xlfn.LET(t,SUBSTITUTE(TRIM(A71),".","/"),d,VALUE(LEFT(t,FIND("/",t)-1)),r,MID(t,FIND("/",t)+1,20),m,VALUE(LEFT(r,FIND("/",r)-1)),y,VALUE(MID(r,FIND("/",r)+1,4)),DATE(IF(y&lt;100,2000+y,y),m,d))</f>
        <v/>
      </c>
      <c r="F71" s="17">
        <f>_xlfn.LET(t,SUBSTITUTE(C71,_xlfn.UNICHAR(160)," "),n,SUBSTITUTE(SUBSTITUTE(TRIM(t)," ",""),",",""),IF(LEFT(n,1)="(",-VALUE(SUBSTITUTE(SUBSTITUTE(n,"(",""),")","")),VALUE(n)))</f>
        <v/>
      </c>
      <c r="G71" s="18">
        <f>TRIM(SUBSTITUTE(SUBSTITUTE(SUBSTITUTE(B71,_xlfn.UNICHAR(160)," "),_xlfn.UNICHAR(8207),""),_xlfn.UNICHAR(8206),""))</f>
        <v/>
      </c>
      <c r="H71" s="18">
        <f>IFERROR(INDEX(MAP[Acct],SUMPRODUCT(MATCH(1,--ISNUMBER(SEARCH(MAP[Keyword],G71)),0))),"UNMAPPED")</f>
        <v/>
      </c>
      <c r="I71" s="18">
        <f>IF(COUNTIFS($D$8:$D$108,D71,$F$8:$F$108,F71,$E$8:$E$108,E71)&gt;1,"DUP","")</f>
        <v/>
      </c>
    </row>
    <row r="72">
      <c r="A72" s="6">
        <f>'01_BANK_RAW'!A69</f>
        <v/>
      </c>
      <c r="B72" s="6">
        <f>'01_BANK_RAW'!B69</f>
        <v/>
      </c>
      <c r="C72" s="6">
        <f>'01_BANK_RAW'!C69</f>
        <v/>
      </c>
      <c r="D72" s="6">
        <f>'01_BANK_RAW'!D69</f>
        <v/>
      </c>
      <c r="E72" s="41">
        <f>_xlfn.LET(t,SUBSTITUTE(TRIM(A72),".","/"),d,VALUE(LEFT(t,FIND("/",t)-1)),r,MID(t,FIND("/",t)+1,20),m,VALUE(LEFT(r,FIND("/",r)-1)),y,VALUE(MID(r,FIND("/",r)+1,4)),DATE(IF(y&lt;100,2000+y,y),m,d))</f>
        <v/>
      </c>
      <c r="F72" s="17">
        <f>_xlfn.LET(t,SUBSTITUTE(C72,_xlfn.UNICHAR(160)," "),n,SUBSTITUTE(SUBSTITUTE(TRIM(t)," ",""),",",""),IF(LEFT(n,1)="(",-VALUE(SUBSTITUTE(SUBSTITUTE(n,"(",""),")","")),VALUE(n)))</f>
        <v/>
      </c>
      <c r="G72" s="18">
        <f>TRIM(SUBSTITUTE(SUBSTITUTE(SUBSTITUTE(B72,_xlfn.UNICHAR(160)," "),_xlfn.UNICHAR(8207),""),_xlfn.UNICHAR(8206),""))</f>
        <v/>
      </c>
      <c r="H72" s="18">
        <f>IFERROR(INDEX(MAP[Acct],SUMPRODUCT(MATCH(1,--ISNUMBER(SEARCH(MAP[Keyword],G72)),0))),"UNMAPPED")</f>
        <v/>
      </c>
      <c r="I72" s="18">
        <f>IF(COUNTIFS($D$8:$D$108,D72,$F$8:$F$108,F72,$E$8:$E$108,E72)&gt;1,"DUP","")</f>
        <v/>
      </c>
    </row>
    <row r="73">
      <c r="A73" s="6">
        <f>'01_BANK_RAW'!A70</f>
        <v/>
      </c>
      <c r="B73" s="6">
        <f>'01_BANK_RAW'!B70</f>
        <v/>
      </c>
      <c r="C73" s="6">
        <f>'01_BANK_RAW'!C70</f>
        <v/>
      </c>
      <c r="D73" s="6">
        <f>'01_BANK_RAW'!D70</f>
        <v/>
      </c>
      <c r="E73" s="41">
        <f>_xlfn.LET(t,SUBSTITUTE(TRIM(A73),".","/"),d,VALUE(LEFT(t,FIND("/",t)-1)),r,MID(t,FIND("/",t)+1,20),m,VALUE(LEFT(r,FIND("/",r)-1)),y,VALUE(MID(r,FIND("/",r)+1,4)),DATE(IF(y&lt;100,2000+y,y),m,d))</f>
        <v/>
      </c>
      <c r="F73" s="17">
        <f>_xlfn.LET(t,SUBSTITUTE(C73,_xlfn.UNICHAR(160)," "),n,SUBSTITUTE(SUBSTITUTE(TRIM(t)," ",""),",",""),IF(LEFT(n,1)="(",-VALUE(SUBSTITUTE(SUBSTITUTE(n,"(",""),")","")),VALUE(n)))</f>
        <v/>
      </c>
      <c r="G73" s="18">
        <f>TRIM(SUBSTITUTE(SUBSTITUTE(SUBSTITUTE(B73,_xlfn.UNICHAR(160)," "),_xlfn.UNICHAR(8207),""),_xlfn.UNICHAR(8206),""))</f>
        <v/>
      </c>
      <c r="H73" s="18">
        <f>IFERROR(INDEX(MAP[Acct],SUMPRODUCT(MATCH(1,--ISNUMBER(SEARCH(MAP[Keyword],G73)),0))),"UNMAPPED")</f>
        <v/>
      </c>
      <c r="I73" s="18">
        <f>IF(COUNTIFS($D$8:$D$108,D73,$F$8:$F$108,F73,$E$8:$E$108,E73)&gt;1,"DUP","")</f>
        <v/>
      </c>
    </row>
    <row r="74">
      <c r="A74" s="6">
        <f>'01_BANK_RAW'!A71</f>
        <v/>
      </c>
      <c r="B74" s="6">
        <f>'01_BANK_RAW'!B71</f>
        <v/>
      </c>
      <c r="C74" s="6">
        <f>'01_BANK_RAW'!C71</f>
        <v/>
      </c>
      <c r="D74" s="6">
        <f>'01_BANK_RAW'!D71</f>
        <v/>
      </c>
      <c r="E74" s="41">
        <f>_xlfn.LET(t,SUBSTITUTE(TRIM(A74),".","/"),d,VALUE(LEFT(t,FIND("/",t)-1)),r,MID(t,FIND("/",t)+1,20),m,VALUE(LEFT(r,FIND("/",r)-1)),y,VALUE(MID(r,FIND("/",r)+1,4)),DATE(IF(y&lt;100,2000+y,y),m,d))</f>
        <v/>
      </c>
      <c r="F74" s="17">
        <f>_xlfn.LET(t,SUBSTITUTE(C74,_xlfn.UNICHAR(160)," "),n,SUBSTITUTE(SUBSTITUTE(TRIM(t)," ",""),",",""),IF(LEFT(n,1)="(",-VALUE(SUBSTITUTE(SUBSTITUTE(n,"(",""),")","")),VALUE(n)))</f>
        <v/>
      </c>
      <c r="G74" s="18">
        <f>TRIM(SUBSTITUTE(SUBSTITUTE(SUBSTITUTE(B74,_xlfn.UNICHAR(160)," "),_xlfn.UNICHAR(8207),""),_xlfn.UNICHAR(8206),""))</f>
        <v/>
      </c>
      <c r="H74" s="18">
        <f>IFERROR(INDEX(MAP[Acct],SUMPRODUCT(MATCH(1,--ISNUMBER(SEARCH(MAP[Keyword],G74)),0))),"UNMAPPED")</f>
        <v/>
      </c>
      <c r="I74" s="18">
        <f>IF(COUNTIFS($D$8:$D$108,D74,$F$8:$F$108,F74,$E$8:$E$108,E74)&gt;1,"DUP","")</f>
        <v/>
      </c>
    </row>
    <row r="75">
      <c r="A75" s="6">
        <f>'01_BANK_RAW'!A72</f>
        <v/>
      </c>
      <c r="B75" s="6">
        <f>'01_BANK_RAW'!B72</f>
        <v/>
      </c>
      <c r="C75" s="6">
        <f>'01_BANK_RAW'!C72</f>
        <v/>
      </c>
      <c r="D75" s="6">
        <f>'01_BANK_RAW'!D72</f>
        <v/>
      </c>
      <c r="E75" s="41">
        <f>_xlfn.LET(t,SUBSTITUTE(TRIM(A75),".","/"),d,VALUE(LEFT(t,FIND("/",t)-1)),r,MID(t,FIND("/",t)+1,20),m,VALUE(LEFT(r,FIND("/",r)-1)),y,VALUE(MID(r,FIND("/",r)+1,4)),DATE(IF(y&lt;100,2000+y,y),m,d))</f>
        <v/>
      </c>
      <c r="F75" s="17">
        <f>_xlfn.LET(t,SUBSTITUTE(C75,_xlfn.UNICHAR(160)," "),n,SUBSTITUTE(SUBSTITUTE(TRIM(t)," ",""),",",""),IF(LEFT(n,1)="(",-VALUE(SUBSTITUTE(SUBSTITUTE(n,"(",""),")","")),VALUE(n)))</f>
        <v/>
      </c>
      <c r="G75" s="18">
        <f>TRIM(SUBSTITUTE(SUBSTITUTE(SUBSTITUTE(B75,_xlfn.UNICHAR(160)," "),_xlfn.UNICHAR(8207),""),_xlfn.UNICHAR(8206),""))</f>
        <v/>
      </c>
      <c r="H75" s="18">
        <f>IFERROR(INDEX(MAP[Acct],SUMPRODUCT(MATCH(1,--ISNUMBER(SEARCH(MAP[Keyword],G75)),0))),"UNMAPPED")</f>
        <v/>
      </c>
      <c r="I75" s="18">
        <f>IF(COUNTIFS($D$8:$D$108,D75,$F$8:$F$108,F75,$E$8:$E$108,E75)&gt;1,"DUP","")</f>
        <v/>
      </c>
    </row>
    <row r="76">
      <c r="A76" s="6">
        <f>'01_BANK_RAW'!A73</f>
        <v/>
      </c>
      <c r="B76" s="6">
        <f>'01_BANK_RAW'!B73</f>
        <v/>
      </c>
      <c r="C76" s="6">
        <f>'01_BANK_RAW'!C73</f>
        <v/>
      </c>
      <c r="D76" s="6">
        <f>'01_BANK_RAW'!D73</f>
        <v/>
      </c>
      <c r="E76" s="41">
        <f>_xlfn.LET(t,SUBSTITUTE(TRIM(A76),".","/"),d,VALUE(LEFT(t,FIND("/",t)-1)),r,MID(t,FIND("/",t)+1,20),m,VALUE(LEFT(r,FIND("/",r)-1)),y,VALUE(MID(r,FIND("/",r)+1,4)),DATE(IF(y&lt;100,2000+y,y),m,d))</f>
        <v/>
      </c>
      <c r="F76" s="17">
        <f>_xlfn.LET(t,SUBSTITUTE(C76,_xlfn.UNICHAR(160)," "),n,SUBSTITUTE(SUBSTITUTE(TRIM(t)," ",""),",",""),IF(LEFT(n,1)="(",-VALUE(SUBSTITUTE(SUBSTITUTE(n,"(",""),")","")),VALUE(n)))</f>
        <v/>
      </c>
      <c r="G76" s="18">
        <f>TRIM(SUBSTITUTE(SUBSTITUTE(SUBSTITUTE(B76,_xlfn.UNICHAR(160)," "),_xlfn.UNICHAR(8207),""),_xlfn.UNICHAR(8206),""))</f>
        <v/>
      </c>
      <c r="H76" s="18">
        <f>IFERROR(INDEX(MAP[Acct],SUMPRODUCT(MATCH(1,--ISNUMBER(SEARCH(MAP[Keyword],G76)),0))),"UNMAPPED")</f>
        <v/>
      </c>
      <c r="I76" s="18">
        <f>IF(COUNTIFS($D$8:$D$108,D76,$F$8:$F$108,F76,$E$8:$E$108,E76)&gt;1,"DUP","")</f>
        <v/>
      </c>
    </row>
    <row r="77">
      <c r="A77" s="6">
        <f>'01_BANK_RAW'!A74</f>
        <v/>
      </c>
      <c r="B77" s="6">
        <f>'01_BANK_RAW'!B74</f>
        <v/>
      </c>
      <c r="C77" s="6">
        <f>'01_BANK_RAW'!C74</f>
        <v/>
      </c>
      <c r="D77" s="6">
        <f>'01_BANK_RAW'!D74</f>
        <v/>
      </c>
      <c r="E77" s="41">
        <f>_xlfn.LET(t,SUBSTITUTE(TRIM(A77),".","/"),d,VALUE(LEFT(t,FIND("/",t)-1)),r,MID(t,FIND("/",t)+1,20),m,VALUE(LEFT(r,FIND("/",r)-1)),y,VALUE(MID(r,FIND("/",r)+1,4)),DATE(IF(y&lt;100,2000+y,y),m,d))</f>
        <v/>
      </c>
      <c r="F77" s="17">
        <f>_xlfn.LET(t,SUBSTITUTE(C77,_xlfn.UNICHAR(160)," "),n,SUBSTITUTE(SUBSTITUTE(TRIM(t)," ",""),",",""),IF(LEFT(n,1)="(",-VALUE(SUBSTITUTE(SUBSTITUTE(n,"(",""),")","")),VALUE(n)))</f>
        <v/>
      </c>
      <c r="G77" s="18">
        <f>TRIM(SUBSTITUTE(SUBSTITUTE(SUBSTITUTE(B77,_xlfn.UNICHAR(160)," "),_xlfn.UNICHAR(8207),""),_xlfn.UNICHAR(8206),""))</f>
        <v/>
      </c>
      <c r="H77" s="18">
        <f>IFERROR(INDEX(MAP[Acct],SUMPRODUCT(MATCH(1,--ISNUMBER(SEARCH(MAP[Keyword],G77)),0))),"UNMAPPED")</f>
        <v/>
      </c>
      <c r="I77" s="18">
        <f>IF(COUNTIFS($D$8:$D$108,D77,$F$8:$F$108,F77,$E$8:$E$108,E77)&gt;1,"DUP","")</f>
        <v/>
      </c>
    </row>
    <row r="78">
      <c r="A78" s="6">
        <f>'01_BANK_RAW'!A75</f>
        <v/>
      </c>
      <c r="B78" s="6">
        <f>'01_BANK_RAW'!B75</f>
        <v/>
      </c>
      <c r="C78" s="6">
        <f>'01_BANK_RAW'!C75</f>
        <v/>
      </c>
      <c r="D78" s="6">
        <f>'01_BANK_RAW'!D75</f>
        <v/>
      </c>
      <c r="E78" s="41">
        <f>_xlfn.LET(t,SUBSTITUTE(TRIM(A78),".","/"),d,VALUE(LEFT(t,FIND("/",t)-1)),r,MID(t,FIND("/",t)+1,20),m,VALUE(LEFT(r,FIND("/",r)-1)),y,VALUE(MID(r,FIND("/",r)+1,4)),DATE(IF(y&lt;100,2000+y,y),m,d))</f>
        <v/>
      </c>
      <c r="F78" s="17">
        <f>_xlfn.LET(t,SUBSTITUTE(C78,_xlfn.UNICHAR(160)," "),n,SUBSTITUTE(SUBSTITUTE(TRIM(t)," ",""),",",""),IF(LEFT(n,1)="(",-VALUE(SUBSTITUTE(SUBSTITUTE(n,"(",""),")","")),VALUE(n)))</f>
        <v/>
      </c>
      <c r="G78" s="18">
        <f>TRIM(SUBSTITUTE(SUBSTITUTE(SUBSTITUTE(B78,_xlfn.UNICHAR(160)," "),_xlfn.UNICHAR(8207),""),_xlfn.UNICHAR(8206),""))</f>
        <v/>
      </c>
      <c r="H78" s="18">
        <f>IFERROR(INDEX(MAP[Acct],SUMPRODUCT(MATCH(1,--ISNUMBER(SEARCH(MAP[Keyword],G78)),0))),"UNMAPPED")</f>
        <v/>
      </c>
      <c r="I78" s="18">
        <f>IF(COUNTIFS($D$8:$D$108,D78,$F$8:$F$108,F78,$E$8:$E$108,E78)&gt;1,"DUP","")</f>
        <v/>
      </c>
    </row>
    <row r="79">
      <c r="A79" s="6">
        <f>'01_BANK_RAW'!A76</f>
        <v/>
      </c>
      <c r="B79" s="6">
        <f>'01_BANK_RAW'!B76</f>
        <v/>
      </c>
      <c r="C79" s="6">
        <f>'01_BANK_RAW'!C76</f>
        <v/>
      </c>
      <c r="D79" s="6">
        <f>'01_BANK_RAW'!D76</f>
        <v/>
      </c>
      <c r="E79" s="41">
        <f>_xlfn.LET(t,SUBSTITUTE(TRIM(A79),".","/"),d,VALUE(LEFT(t,FIND("/",t)-1)),r,MID(t,FIND("/",t)+1,20),m,VALUE(LEFT(r,FIND("/",r)-1)),y,VALUE(MID(r,FIND("/",r)+1,4)),DATE(IF(y&lt;100,2000+y,y),m,d))</f>
        <v/>
      </c>
      <c r="F79" s="17">
        <f>_xlfn.LET(t,SUBSTITUTE(C79,_xlfn.UNICHAR(160)," "),n,SUBSTITUTE(SUBSTITUTE(TRIM(t)," ",""),",",""),IF(LEFT(n,1)="(",-VALUE(SUBSTITUTE(SUBSTITUTE(n,"(",""),")","")),VALUE(n)))</f>
        <v/>
      </c>
      <c r="G79" s="18">
        <f>TRIM(SUBSTITUTE(SUBSTITUTE(SUBSTITUTE(B79,_xlfn.UNICHAR(160)," "),_xlfn.UNICHAR(8207),""),_xlfn.UNICHAR(8206),""))</f>
        <v/>
      </c>
      <c r="H79" s="18">
        <f>IFERROR(INDEX(MAP[Acct],SUMPRODUCT(MATCH(1,--ISNUMBER(SEARCH(MAP[Keyword],G79)),0))),"UNMAPPED")</f>
        <v/>
      </c>
      <c r="I79" s="18">
        <f>IF(COUNTIFS($D$8:$D$108,D79,$F$8:$F$108,F79,$E$8:$E$108,E79)&gt;1,"DUP","")</f>
        <v/>
      </c>
    </row>
    <row r="80">
      <c r="A80" s="6">
        <f>'01_BANK_RAW'!A77</f>
        <v/>
      </c>
      <c r="B80" s="6">
        <f>'01_BANK_RAW'!B77</f>
        <v/>
      </c>
      <c r="C80" s="6">
        <f>'01_BANK_RAW'!C77</f>
        <v/>
      </c>
      <c r="D80" s="6">
        <f>'01_BANK_RAW'!D77</f>
        <v/>
      </c>
      <c r="E80" s="41">
        <f>_xlfn.LET(t,SUBSTITUTE(TRIM(A80),".","/"),d,VALUE(LEFT(t,FIND("/",t)-1)),r,MID(t,FIND("/",t)+1,20),m,VALUE(LEFT(r,FIND("/",r)-1)),y,VALUE(MID(r,FIND("/",r)+1,4)),DATE(IF(y&lt;100,2000+y,y),m,d))</f>
        <v/>
      </c>
      <c r="F80" s="17">
        <f>_xlfn.LET(t,SUBSTITUTE(C80,_xlfn.UNICHAR(160)," "),n,SUBSTITUTE(SUBSTITUTE(TRIM(t)," ",""),",",""),IF(LEFT(n,1)="(",-VALUE(SUBSTITUTE(SUBSTITUTE(n,"(",""),")","")),VALUE(n)))</f>
        <v/>
      </c>
      <c r="G80" s="18">
        <f>TRIM(SUBSTITUTE(SUBSTITUTE(SUBSTITUTE(B80,_xlfn.UNICHAR(160)," "),_xlfn.UNICHAR(8207),""),_xlfn.UNICHAR(8206),""))</f>
        <v/>
      </c>
      <c r="H80" s="18">
        <f>IFERROR(INDEX(MAP[Acct],SUMPRODUCT(MATCH(1,--ISNUMBER(SEARCH(MAP[Keyword],G80)),0))),"UNMAPPED")</f>
        <v/>
      </c>
      <c r="I80" s="18">
        <f>IF(COUNTIFS($D$8:$D$108,D80,$F$8:$F$108,F80,$E$8:$E$108,E80)&gt;1,"DUP","")</f>
        <v/>
      </c>
    </row>
    <row r="81">
      <c r="A81" s="6">
        <f>'01_BANK_RAW'!A78</f>
        <v/>
      </c>
      <c r="B81" s="6">
        <f>'01_BANK_RAW'!B78</f>
        <v/>
      </c>
      <c r="C81" s="6">
        <f>'01_BANK_RAW'!C78</f>
        <v/>
      </c>
      <c r="D81" s="6">
        <f>'01_BANK_RAW'!D78</f>
        <v/>
      </c>
      <c r="E81" s="41">
        <f>_xlfn.LET(t,SUBSTITUTE(TRIM(A81),".","/"),d,VALUE(LEFT(t,FIND("/",t)-1)),r,MID(t,FIND("/",t)+1,20),m,VALUE(LEFT(r,FIND("/",r)-1)),y,VALUE(MID(r,FIND("/",r)+1,4)),DATE(IF(y&lt;100,2000+y,y),m,d))</f>
        <v/>
      </c>
      <c r="F81" s="17">
        <f>_xlfn.LET(t,SUBSTITUTE(C81,_xlfn.UNICHAR(160)," "),n,SUBSTITUTE(SUBSTITUTE(TRIM(t)," ",""),",",""),IF(LEFT(n,1)="(",-VALUE(SUBSTITUTE(SUBSTITUTE(n,"(",""),")","")),VALUE(n)))</f>
        <v/>
      </c>
      <c r="G81" s="18">
        <f>TRIM(SUBSTITUTE(SUBSTITUTE(SUBSTITUTE(B81,_xlfn.UNICHAR(160)," "),_xlfn.UNICHAR(8207),""),_xlfn.UNICHAR(8206),""))</f>
        <v/>
      </c>
      <c r="H81" s="18">
        <f>IFERROR(INDEX(MAP[Acct],SUMPRODUCT(MATCH(1,--ISNUMBER(SEARCH(MAP[Keyword],G81)),0))),"UNMAPPED")</f>
        <v/>
      </c>
      <c r="I81" s="18">
        <f>IF(COUNTIFS($D$8:$D$108,D81,$F$8:$F$108,F81,$E$8:$E$108,E81)&gt;1,"DUP","")</f>
        <v/>
      </c>
    </row>
    <row r="82">
      <c r="A82" s="6">
        <f>'01_BANK_RAW'!A79</f>
        <v/>
      </c>
      <c r="B82" s="6">
        <f>'01_BANK_RAW'!B79</f>
        <v/>
      </c>
      <c r="C82" s="6">
        <f>'01_BANK_RAW'!C79</f>
        <v/>
      </c>
      <c r="D82" s="6">
        <f>'01_BANK_RAW'!D79</f>
        <v/>
      </c>
      <c r="E82" s="41">
        <f>_xlfn.LET(t,SUBSTITUTE(TRIM(A82),".","/"),d,VALUE(LEFT(t,FIND("/",t)-1)),r,MID(t,FIND("/",t)+1,20),m,VALUE(LEFT(r,FIND("/",r)-1)),y,VALUE(MID(r,FIND("/",r)+1,4)),DATE(IF(y&lt;100,2000+y,y),m,d))</f>
        <v/>
      </c>
      <c r="F82" s="17">
        <f>_xlfn.LET(t,SUBSTITUTE(C82,_xlfn.UNICHAR(160)," "),n,SUBSTITUTE(SUBSTITUTE(TRIM(t)," ",""),",",""),IF(LEFT(n,1)="(",-VALUE(SUBSTITUTE(SUBSTITUTE(n,"(",""),")","")),VALUE(n)))</f>
        <v/>
      </c>
      <c r="G82" s="18">
        <f>TRIM(SUBSTITUTE(SUBSTITUTE(SUBSTITUTE(B82,_xlfn.UNICHAR(160)," "),_xlfn.UNICHAR(8207),""),_xlfn.UNICHAR(8206),""))</f>
        <v/>
      </c>
      <c r="H82" s="18">
        <f>IFERROR(INDEX(MAP[Acct],SUMPRODUCT(MATCH(1,--ISNUMBER(SEARCH(MAP[Keyword],G82)),0))),"UNMAPPED")</f>
        <v/>
      </c>
      <c r="I82" s="18">
        <f>IF(COUNTIFS($D$8:$D$108,D82,$F$8:$F$108,F82,$E$8:$E$108,E82)&gt;1,"DUP","")</f>
        <v/>
      </c>
    </row>
    <row r="83">
      <c r="A83" s="6">
        <f>'01_BANK_RAW'!A80</f>
        <v/>
      </c>
      <c r="B83" s="6">
        <f>'01_BANK_RAW'!B80</f>
        <v/>
      </c>
      <c r="C83" s="6">
        <f>'01_BANK_RAW'!C80</f>
        <v/>
      </c>
      <c r="D83" s="6">
        <f>'01_BANK_RAW'!D80</f>
        <v/>
      </c>
      <c r="E83" s="41">
        <f>_xlfn.LET(t,SUBSTITUTE(TRIM(A83),".","/"),d,VALUE(LEFT(t,FIND("/",t)-1)),r,MID(t,FIND("/",t)+1,20),m,VALUE(LEFT(r,FIND("/",r)-1)),y,VALUE(MID(r,FIND("/",r)+1,4)),DATE(IF(y&lt;100,2000+y,y),m,d))</f>
        <v/>
      </c>
      <c r="F83" s="17">
        <f>_xlfn.LET(t,SUBSTITUTE(C83,_xlfn.UNICHAR(160)," "),n,SUBSTITUTE(SUBSTITUTE(TRIM(t)," ",""),",",""),IF(LEFT(n,1)="(",-VALUE(SUBSTITUTE(SUBSTITUTE(n,"(",""),")","")),VALUE(n)))</f>
        <v/>
      </c>
      <c r="G83" s="18">
        <f>TRIM(SUBSTITUTE(SUBSTITUTE(SUBSTITUTE(B83,_xlfn.UNICHAR(160)," "),_xlfn.UNICHAR(8207),""),_xlfn.UNICHAR(8206),""))</f>
        <v/>
      </c>
      <c r="H83" s="18">
        <f>IFERROR(INDEX(MAP[Acct],SUMPRODUCT(MATCH(1,--ISNUMBER(SEARCH(MAP[Keyword],G83)),0))),"UNMAPPED")</f>
        <v/>
      </c>
      <c r="I83" s="18">
        <f>IF(COUNTIFS($D$8:$D$108,D83,$F$8:$F$108,F83,$E$8:$E$108,E83)&gt;1,"DUP","")</f>
        <v/>
      </c>
    </row>
    <row r="84">
      <c r="A84" s="6">
        <f>'01_BANK_RAW'!A81</f>
        <v/>
      </c>
      <c r="B84" s="6">
        <f>'01_BANK_RAW'!B81</f>
        <v/>
      </c>
      <c r="C84" s="6">
        <f>'01_BANK_RAW'!C81</f>
        <v/>
      </c>
      <c r="D84" s="6">
        <f>'01_BANK_RAW'!D81</f>
        <v/>
      </c>
      <c r="E84" s="41">
        <f>_xlfn.LET(t,SUBSTITUTE(TRIM(A84),".","/"),d,VALUE(LEFT(t,FIND("/",t)-1)),r,MID(t,FIND("/",t)+1,20),m,VALUE(LEFT(r,FIND("/",r)-1)),y,VALUE(MID(r,FIND("/",r)+1,4)),DATE(IF(y&lt;100,2000+y,y),m,d))</f>
        <v/>
      </c>
      <c r="F84" s="17">
        <f>_xlfn.LET(t,SUBSTITUTE(C84,_xlfn.UNICHAR(160)," "),n,SUBSTITUTE(SUBSTITUTE(TRIM(t)," ",""),",",""),IF(LEFT(n,1)="(",-VALUE(SUBSTITUTE(SUBSTITUTE(n,"(",""),")","")),VALUE(n)))</f>
        <v/>
      </c>
      <c r="G84" s="18">
        <f>TRIM(SUBSTITUTE(SUBSTITUTE(SUBSTITUTE(B84,_xlfn.UNICHAR(160)," "),_xlfn.UNICHAR(8207),""),_xlfn.UNICHAR(8206),""))</f>
        <v/>
      </c>
      <c r="H84" s="18">
        <f>IFERROR(INDEX(MAP[Acct],SUMPRODUCT(MATCH(1,--ISNUMBER(SEARCH(MAP[Keyword],G84)),0))),"UNMAPPED")</f>
        <v/>
      </c>
      <c r="I84" s="18">
        <f>IF(COUNTIFS($D$8:$D$108,D84,$F$8:$F$108,F84,$E$8:$E$108,E84)&gt;1,"DUP","")</f>
        <v/>
      </c>
    </row>
    <row r="85">
      <c r="A85" s="6">
        <f>'01_BANK_RAW'!A82</f>
        <v/>
      </c>
      <c r="B85" s="6">
        <f>'01_BANK_RAW'!B82</f>
        <v/>
      </c>
      <c r="C85" s="6">
        <f>'01_BANK_RAW'!C82</f>
        <v/>
      </c>
      <c r="D85" s="6">
        <f>'01_BANK_RAW'!D82</f>
        <v/>
      </c>
      <c r="E85" s="41">
        <f>_xlfn.LET(t,SUBSTITUTE(TRIM(A85),".","/"),d,VALUE(LEFT(t,FIND("/",t)-1)),r,MID(t,FIND("/",t)+1,20),m,VALUE(LEFT(r,FIND("/",r)-1)),y,VALUE(MID(r,FIND("/",r)+1,4)),DATE(IF(y&lt;100,2000+y,y),m,d))</f>
        <v/>
      </c>
      <c r="F85" s="17">
        <f>_xlfn.LET(t,SUBSTITUTE(C85,_xlfn.UNICHAR(160)," "),n,SUBSTITUTE(SUBSTITUTE(TRIM(t)," ",""),",",""),IF(LEFT(n,1)="(",-VALUE(SUBSTITUTE(SUBSTITUTE(n,"(",""),")","")),VALUE(n)))</f>
        <v/>
      </c>
      <c r="G85" s="18">
        <f>TRIM(SUBSTITUTE(SUBSTITUTE(SUBSTITUTE(B85,_xlfn.UNICHAR(160)," "),_xlfn.UNICHAR(8207),""),_xlfn.UNICHAR(8206),""))</f>
        <v/>
      </c>
      <c r="H85" s="18">
        <f>IFERROR(INDEX(MAP[Acct],SUMPRODUCT(MATCH(1,--ISNUMBER(SEARCH(MAP[Keyword],G85)),0))),"UNMAPPED")</f>
        <v/>
      </c>
      <c r="I85" s="18">
        <f>IF(COUNTIFS($D$8:$D$108,D85,$F$8:$F$108,F85,$E$8:$E$108,E85)&gt;1,"DUP","")</f>
        <v/>
      </c>
    </row>
    <row r="86">
      <c r="A86" s="6">
        <f>'01_BANK_RAW'!A83</f>
        <v/>
      </c>
      <c r="B86" s="6">
        <f>'01_BANK_RAW'!B83</f>
        <v/>
      </c>
      <c r="C86" s="6">
        <f>'01_BANK_RAW'!C83</f>
        <v/>
      </c>
      <c r="D86" s="6">
        <f>'01_BANK_RAW'!D83</f>
        <v/>
      </c>
      <c r="E86" s="41">
        <f>_xlfn.LET(t,SUBSTITUTE(TRIM(A86),".","/"),d,VALUE(LEFT(t,FIND("/",t)-1)),r,MID(t,FIND("/",t)+1,20),m,VALUE(LEFT(r,FIND("/",r)-1)),y,VALUE(MID(r,FIND("/",r)+1,4)),DATE(IF(y&lt;100,2000+y,y),m,d))</f>
        <v/>
      </c>
      <c r="F86" s="17">
        <f>_xlfn.LET(t,SUBSTITUTE(C86,_xlfn.UNICHAR(160)," "),n,SUBSTITUTE(SUBSTITUTE(TRIM(t)," ",""),",",""),IF(LEFT(n,1)="(",-VALUE(SUBSTITUTE(SUBSTITUTE(n,"(",""),")","")),VALUE(n)))</f>
        <v/>
      </c>
      <c r="G86" s="18">
        <f>TRIM(SUBSTITUTE(SUBSTITUTE(SUBSTITUTE(B86,_xlfn.UNICHAR(160)," "),_xlfn.UNICHAR(8207),""),_xlfn.UNICHAR(8206),""))</f>
        <v/>
      </c>
      <c r="H86" s="18">
        <f>IFERROR(INDEX(MAP[Acct],SUMPRODUCT(MATCH(1,--ISNUMBER(SEARCH(MAP[Keyword],G86)),0))),"UNMAPPED")</f>
        <v/>
      </c>
      <c r="I86" s="18">
        <f>IF(COUNTIFS($D$8:$D$108,D86,$F$8:$F$108,F86,$E$8:$E$108,E86)&gt;1,"DUP","")</f>
        <v/>
      </c>
    </row>
    <row r="87">
      <c r="A87" s="6">
        <f>'01_BANK_RAW'!A84</f>
        <v/>
      </c>
      <c r="B87" s="6">
        <f>'01_BANK_RAW'!B84</f>
        <v/>
      </c>
      <c r="C87" s="6">
        <f>'01_BANK_RAW'!C84</f>
        <v/>
      </c>
      <c r="D87" s="6">
        <f>'01_BANK_RAW'!D84</f>
        <v/>
      </c>
      <c r="E87" s="41">
        <f>_xlfn.LET(t,SUBSTITUTE(TRIM(A87),".","/"),d,VALUE(LEFT(t,FIND("/",t)-1)),r,MID(t,FIND("/",t)+1,20),m,VALUE(LEFT(r,FIND("/",r)-1)),y,VALUE(MID(r,FIND("/",r)+1,4)),DATE(IF(y&lt;100,2000+y,y),m,d))</f>
        <v/>
      </c>
      <c r="F87" s="17">
        <f>_xlfn.LET(t,SUBSTITUTE(C87,_xlfn.UNICHAR(160)," "),n,SUBSTITUTE(SUBSTITUTE(TRIM(t)," ",""),",",""),IF(LEFT(n,1)="(",-VALUE(SUBSTITUTE(SUBSTITUTE(n,"(",""),")","")),VALUE(n)))</f>
        <v/>
      </c>
      <c r="G87" s="18">
        <f>TRIM(SUBSTITUTE(SUBSTITUTE(SUBSTITUTE(B87,_xlfn.UNICHAR(160)," "),_xlfn.UNICHAR(8207),""),_xlfn.UNICHAR(8206),""))</f>
        <v/>
      </c>
      <c r="H87" s="18">
        <f>IFERROR(INDEX(MAP[Acct],SUMPRODUCT(MATCH(1,--ISNUMBER(SEARCH(MAP[Keyword],G87)),0))),"UNMAPPED")</f>
        <v/>
      </c>
      <c r="I87" s="18">
        <f>IF(COUNTIFS($D$8:$D$108,D87,$F$8:$F$108,F87,$E$8:$E$108,E87)&gt;1,"DUP","")</f>
        <v/>
      </c>
    </row>
    <row r="88">
      <c r="A88" s="6">
        <f>'01_BANK_RAW'!A85</f>
        <v/>
      </c>
      <c r="B88" s="6">
        <f>'01_BANK_RAW'!B85</f>
        <v/>
      </c>
      <c r="C88" s="6">
        <f>'01_BANK_RAW'!C85</f>
        <v/>
      </c>
      <c r="D88" s="6">
        <f>'01_BANK_RAW'!D85</f>
        <v/>
      </c>
      <c r="E88" s="41">
        <f>_xlfn.LET(t,SUBSTITUTE(TRIM(A88),".","/"),d,VALUE(LEFT(t,FIND("/",t)-1)),r,MID(t,FIND("/",t)+1,20),m,VALUE(LEFT(r,FIND("/",r)-1)),y,VALUE(MID(r,FIND("/",r)+1,4)),DATE(IF(y&lt;100,2000+y,y),m,d))</f>
        <v/>
      </c>
      <c r="F88" s="17">
        <f>_xlfn.LET(t,SUBSTITUTE(C88,_xlfn.UNICHAR(160)," "),n,SUBSTITUTE(SUBSTITUTE(TRIM(t)," ",""),",",""),IF(LEFT(n,1)="(",-VALUE(SUBSTITUTE(SUBSTITUTE(n,"(",""),")","")),VALUE(n)))</f>
        <v/>
      </c>
      <c r="G88" s="18">
        <f>TRIM(SUBSTITUTE(SUBSTITUTE(SUBSTITUTE(B88,_xlfn.UNICHAR(160)," "),_xlfn.UNICHAR(8207),""),_xlfn.UNICHAR(8206),""))</f>
        <v/>
      </c>
      <c r="H88" s="18">
        <f>IFERROR(INDEX(MAP[Acct],SUMPRODUCT(MATCH(1,--ISNUMBER(SEARCH(MAP[Keyword],G88)),0))),"UNMAPPED")</f>
        <v/>
      </c>
      <c r="I88" s="18">
        <f>IF(COUNTIFS($D$8:$D$108,D88,$F$8:$F$108,F88,$E$8:$E$108,E88)&gt;1,"DUP","")</f>
        <v/>
      </c>
    </row>
    <row r="89">
      <c r="A89" s="6">
        <f>'01_BANK_RAW'!A86</f>
        <v/>
      </c>
      <c r="B89" s="6">
        <f>'01_BANK_RAW'!B86</f>
        <v/>
      </c>
      <c r="C89" s="6">
        <f>'01_BANK_RAW'!C86</f>
        <v/>
      </c>
      <c r="D89" s="6">
        <f>'01_BANK_RAW'!D86</f>
        <v/>
      </c>
      <c r="E89" s="41">
        <f>_xlfn.LET(t,SUBSTITUTE(TRIM(A89),".","/"),d,VALUE(LEFT(t,FIND("/",t)-1)),r,MID(t,FIND("/",t)+1,20),m,VALUE(LEFT(r,FIND("/",r)-1)),y,VALUE(MID(r,FIND("/",r)+1,4)),DATE(IF(y&lt;100,2000+y,y),m,d))</f>
        <v/>
      </c>
      <c r="F89" s="17">
        <f>_xlfn.LET(t,SUBSTITUTE(C89,_xlfn.UNICHAR(160)," "),n,SUBSTITUTE(SUBSTITUTE(TRIM(t)," ",""),",",""),IF(LEFT(n,1)="(",-VALUE(SUBSTITUTE(SUBSTITUTE(n,"(",""),")","")),VALUE(n)))</f>
        <v/>
      </c>
      <c r="G89" s="18">
        <f>TRIM(SUBSTITUTE(SUBSTITUTE(SUBSTITUTE(B89,_xlfn.UNICHAR(160)," "),_xlfn.UNICHAR(8207),""),_xlfn.UNICHAR(8206),""))</f>
        <v/>
      </c>
      <c r="H89" s="18">
        <f>IFERROR(INDEX(MAP[Acct],SUMPRODUCT(MATCH(1,--ISNUMBER(SEARCH(MAP[Keyword],G89)),0))),"UNMAPPED")</f>
        <v/>
      </c>
      <c r="I89" s="18">
        <f>IF(COUNTIFS($D$8:$D$108,D89,$F$8:$F$108,F89,$E$8:$E$108,E89)&gt;1,"DUP","")</f>
        <v/>
      </c>
    </row>
    <row r="90">
      <c r="A90" s="6">
        <f>'01_BANK_RAW'!A87</f>
        <v/>
      </c>
      <c r="B90" s="6">
        <f>'01_BANK_RAW'!B87</f>
        <v/>
      </c>
      <c r="C90" s="6">
        <f>'01_BANK_RAW'!C87</f>
        <v/>
      </c>
      <c r="D90" s="6">
        <f>'01_BANK_RAW'!D87</f>
        <v/>
      </c>
      <c r="E90" s="41">
        <f>_xlfn.LET(t,SUBSTITUTE(TRIM(A90),".","/"),d,VALUE(LEFT(t,FIND("/",t)-1)),r,MID(t,FIND("/",t)+1,20),m,VALUE(LEFT(r,FIND("/",r)-1)),y,VALUE(MID(r,FIND("/",r)+1,4)),DATE(IF(y&lt;100,2000+y,y),m,d))</f>
        <v/>
      </c>
      <c r="F90" s="17">
        <f>_xlfn.LET(t,SUBSTITUTE(C90,_xlfn.UNICHAR(160)," "),n,SUBSTITUTE(SUBSTITUTE(TRIM(t)," ",""),",",""),IF(LEFT(n,1)="(",-VALUE(SUBSTITUTE(SUBSTITUTE(n,"(",""),")","")),VALUE(n)))</f>
        <v/>
      </c>
      <c r="G90" s="18">
        <f>TRIM(SUBSTITUTE(SUBSTITUTE(SUBSTITUTE(B90,_xlfn.UNICHAR(160)," "),_xlfn.UNICHAR(8207),""),_xlfn.UNICHAR(8206),""))</f>
        <v/>
      </c>
      <c r="H90" s="18">
        <f>IFERROR(INDEX(MAP[Acct],SUMPRODUCT(MATCH(1,--ISNUMBER(SEARCH(MAP[Keyword],G90)),0))),"UNMAPPED")</f>
        <v/>
      </c>
      <c r="I90" s="18">
        <f>IF(COUNTIFS($D$8:$D$108,D90,$F$8:$F$108,F90,$E$8:$E$108,E90)&gt;1,"DUP","")</f>
        <v/>
      </c>
    </row>
    <row r="91">
      <c r="A91" s="6">
        <f>'01_BANK_RAW'!A88</f>
        <v/>
      </c>
      <c r="B91" s="6">
        <f>'01_BANK_RAW'!B88</f>
        <v/>
      </c>
      <c r="C91" s="6">
        <f>'01_BANK_RAW'!C88</f>
        <v/>
      </c>
      <c r="D91" s="6">
        <f>'01_BANK_RAW'!D88</f>
        <v/>
      </c>
      <c r="E91" s="41">
        <f>_xlfn.LET(t,SUBSTITUTE(TRIM(A91),".","/"),d,VALUE(LEFT(t,FIND("/",t)-1)),r,MID(t,FIND("/",t)+1,20),m,VALUE(LEFT(r,FIND("/",r)-1)),y,VALUE(MID(r,FIND("/",r)+1,4)),DATE(IF(y&lt;100,2000+y,y),m,d))</f>
        <v/>
      </c>
      <c r="F91" s="17">
        <f>_xlfn.LET(t,SUBSTITUTE(C91,_xlfn.UNICHAR(160)," "),n,SUBSTITUTE(SUBSTITUTE(TRIM(t)," ",""),",",""),IF(LEFT(n,1)="(",-VALUE(SUBSTITUTE(SUBSTITUTE(n,"(",""),")","")),VALUE(n)))</f>
        <v/>
      </c>
      <c r="G91" s="18">
        <f>TRIM(SUBSTITUTE(SUBSTITUTE(SUBSTITUTE(B91,_xlfn.UNICHAR(160)," "),_xlfn.UNICHAR(8207),""),_xlfn.UNICHAR(8206),""))</f>
        <v/>
      </c>
      <c r="H91" s="18">
        <f>IFERROR(INDEX(MAP[Acct],SUMPRODUCT(MATCH(1,--ISNUMBER(SEARCH(MAP[Keyword],G91)),0))),"UNMAPPED")</f>
        <v/>
      </c>
      <c r="I91" s="18">
        <f>IF(COUNTIFS($D$8:$D$108,D91,$F$8:$F$108,F91,$E$8:$E$108,E91)&gt;1,"DUP","")</f>
        <v/>
      </c>
    </row>
    <row r="92">
      <c r="A92" s="6">
        <f>'01_BANK_RAW'!A89</f>
        <v/>
      </c>
      <c r="B92" s="6">
        <f>'01_BANK_RAW'!B89</f>
        <v/>
      </c>
      <c r="C92" s="6">
        <f>'01_BANK_RAW'!C89</f>
        <v/>
      </c>
      <c r="D92" s="6">
        <f>'01_BANK_RAW'!D89</f>
        <v/>
      </c>
      <c r="E92" s="41">
        <f>_xlfn.LET(t,SUBSTITUTE(TRIM(A92),".","/"),d,VALUE(LEFT(t,FIND("/",t)-1)),r,MID(t,FIND("/",t)+1,20),m,VALUE(LEFT(r,FIND("/",r)-1)),y,VALUE(MID(r,FIND("/",r)+1,4)),DATE(IF(y&lt;100,2000+y,y),m,d))</f>
        <v/>
      </c>
      <c r="F92" s="17">
        <f>_xlfn.LET(t,SUBSTITUTE(C92,_xlfn.UNICHAR(160)," "),n,SUBSTITUTE(SUBSTITUTE(TRIM(t)," ",""),",",""),IF(LEFT(n,1)="(",-VALUE(SUBSTITUTE(SUBSTITUTE(n,"(",""),")","")),VALUE(n)))</f>
        <v/>
      </c>
      <c r="G92" s="18">
        <f>TRIM(SUBSTITUTE(SUBSTITUTE(SUBSTITUTE(B92,_xlfn.UNICHAR(160)," "),_xlfn.UNICHAR(8207),""),_xlfn.UNICHAR(8206),""))</f>
        <v/>
      </c>
      <c r="H92" s="18">
        <f>IFERROR(INDEX(MAP[Acct],SUMPRODUCT(MATCH(1,--ISNUMBER(SEARCH(MAP[Keyword],G92)),0))),"UNMAPPED")</f>
        <v/>
      </c>
      <c r="I92" s="18">
        <f>IF(COUNTIFS($D$8:$D$108,D92,$F$8:$F$108,F92,$E$8:$E$108,E92)&gt;1,"DUP","")</f>
        <v/>
      </c>
    </row>
    <row r="93">
      <c r="A93" s="6">
        <f>'01_BANK_RAW'!A90</f>
        <v/>
      </c>
      <c r="B93" s="6">
        <f>'01_BANK_RAW'!B90</f>
        <v/>
      </c>
      <c r="C93" s="6">
        <f>'01_BANK_RAW'!C90</f>
        <v/>
      </c>
      <c r="D93" s="6">
        <f>'01_BANK_RAW'!D90</f>
        <v/>
      </c>
      <c r="E93" s="41">
        <f>_xlfn.LET(t,SUBSTITUTE(TRIM(A93),".","/"),d,VALUE(LEFT(t,FIND("/",t)-1)),r,MID(t,FIND("/",t)+1,20),m,VALUE(LEFT(r,FIND("/",r)-1)),y,VALUE(MID(r,FIND("/",r)+1,4)),DATE(IF(y&lt;100,2000+y,y),m,d))</f>
        <v/>
      </c>
      <c r="F93" s="17">
        <f>_xlfn.LET(t,SUBSTITUTE(C93,_xlfn.UNICHAR(160)," "),n,SUBSTITUTE(SUBSTITUTE(TRIM(t)," ",""),",",""),IF(LEFT(n,1)="(",-VALUE(SUBSTITUTE(SUBSTITUTE(n,"(",""),")","")),VALUE(n)))</f>
        <v/>
      </c>
      <c r="G93" s="18">
        <f>TRIM(SUBSTITUTE(SUBSTITUTE(SUBSTITUTE(B93,_xlfn.UNICHAR(160)," "),_xlfn.UNICHAR(8207),""),_xlfn.UNICHAR(8206),""))</f>
        <v/>
      </c>
      <c r="H93" s="18">
        <f>IFERROR(INDEX(MAP[Acct],SUMPRODUCT(MATCH(1,--ISNUMBER(SEARCH(MAP[Keyword],G93)),0))),"UNMAPPED")</f>
        <v/>
      </c>
      <c r="I93" s="18">
        <f>IF(COUNTIFS($D$8:$D$108,D93,$F$8:$F$108,F93,$E$8:$E$108,E93)&gt;1,"DUP","")</f>
        <v/>
      </c>
    </row>
    <row r="94">
      <c r="A94" s="6">
        <f>'01_BANK_RAW'!A91</f>
        <v/>
      </c>
      <c r="B94" s="6">
        <f>'01_BANK_RAW'!B91</f>
        <v/>
      </c>
      <c r="C94" s="6">
        <f>'01_BANK_RAW'!C91</f>
        <v/>
      </c>
      <c r="D94" s="6">
        <f>'01_BANK_RAW'!D91</f>
        <v/>
      </c>
      <c r="E94" s="41">
        <f>_xlfn.LET(t,SUBSTITUTE(TRIM(A94),".","/"),d,VALUE(LEFT(t,FIND("/",t)-1)),r,MID(t,FIND("/",t)+1,20),m,VALUE(LEFT(r,FIND("/",r)-1)),y,VALUE(MID(r,FIND("/",r)+1,4)),DATE(IF(y&lt;100,2000+y,y),m,d))</f>
        <v/>
      </c>
      <c r="F94" s="17">
        <f>_xlfn.LET(t,SUBSTITUTE(C94,_xlfn.UNICHAR(160)," "),n,SUBSTITUTE(SUBSTITUTE(TRIM(t)," ",""),",",""),IF(LEFT(n,1)="(",-VALUE(SUBSTITUTE(SUBSTITUTE(n,"(",""),")","")),VALUE(n)))</f>
        <v/>
      </c>
      <c r="G94" s="18">
        <f>TRIM(SUBSTITUTE(SUBSTITUTE(SUBSTITUTE(B94,_xlfn.UNICHAR(160)," "),_xlfn.UNICHAR(8207),""),_xlfn.UNICHAR(8206),""))</f>
        <v/>
      </c>
      <c r="H94" s="18">
        <f>IFERROR(INDEX(MAP[Acct],SUMPRODUCT(MATCH(1,--ISNUMBER(SEARCH(MAP[Keyword],G94)),0))),"UNMAPPED")</f>
        <v/>
      </c>
      <c r="I94" s="18">
        <f>IF(COUNTIFS($D$8:$D$108,D94,$F$8:$F$108,F94,$E$8:$E$108,E94)&gt;1,"DUP","")</f>
        <v/>
      </c>
    </row>
    <row r="95">
      <c r="A95" s="6">
        <f>'01_BANK_RAW'!A92</f>
        <v/>
      </c>
      <c r="B95" s="6">
        <f>'01_BANK_RAW'!B92</f>
        <v/>
      </c>
      <c r="C95" s="6">
        <f>'01_BANK_RAW'!C92</f>
        <v/>
      </c>
      <c r="D95" s="6">
        <f>'01_BANK_RAW'!D92</f>
        <v/>
      </c>
      <c r="E95" s="41">
        <f>_xlfn.LET(t,SUBSTITUTE(TRIM(A95),".","/"),d,VALUE(LEFT(t,FIND("/",t)-1)),r,MID(t,FIND("/",t)+1,20),m,VALUE(LEFT(r,FIND("/",r)-1)),y,VALUE(MID(r,FIND("/",r)+1,4)),DATE(IF(y&lt;100,2000+y,y),m,d))</f>
        <v/>
      </c>
      <c r="F95" s="17">
        <f>_xlfn.LET(t,SUBSTITUTE(C95,_xlfn.UNICHAR(160)," "),n,SUBSTITUTE(SUBSTITUTE(TRIM(t)," ",""),",",""),IF(LEFT(n,1)="(",-VALUE(SUBSTITUTE(SUBSTITUTE(n,"(",""),")","")),VALUE(n)))</f>
        <v/>
      </c>
      <c r="G95" s="18">
        <f>TRIM(SUBSTITUTE(SUBSTITUTE(SUBSTITUTE(B95,_xlfn.UNICHAR(160)," "),_xlfn.UNICHAR(8207),""),_xlfn.UNICHAR(8206),""))</f>
        <v/>
      </c>
      <c r="H95" s="18">
        <f>IFERROR(INDEX(MAP[Acct],SUMPRODUCT(MATCH(1,--ISNUMBER(SEARCH(MAP[Keyword],G95)),0))),"UNMAPPED")</f>
        <v/>
      </c>
      <c r="I95" s="18">
        <f>IF(COUNTIFS($D$8:$D$108,D95,$F$8:$F$108,F95,$E$8:$E$108,E95)&gt;1,"DUP","")</f>
        <v/>
      </c>
    </row>
    <row r="96">
      <c r="A96" s="6">
        <f>'01_BANK_RAW'!A93</f>
        <v/>
      </c>
      <c r="B96" s="6">
        <f>'01_BANK_RAW'!B93</f>
        <v/>
      </c>
      <c r="C96" s="6">
        <f>'01_BANK_RAW'!C93</f>
        <v/>
      </c>
      <c r="D96" s="6">
        <f>'01_BANK_RAW'!D93</f>
        <v/>
      </c>
      <c r="E96" s="41">
        <f>_xlfn.LET(t,SUBSTITUTE(TRIM(A96),".","/"),d,VALUE(LEFT(t,FIND("/",t)-1)),r,MID(t,FIND("/",t)+1,20),m,VALUE(LEFT(r,FIND("/",r)-1)),y,VALUE(MID(r,FIND("/",r)+1,4)),DATE(IF(y&lt;100,2000+y,y),m,d))</f>
        <v/>
      </c>
      <c r="F96" s="17">
        <f>_xlfn.LET(t,SUBSTITUTE(C96,_xlfn.UNICHAR(160)," "),n,SUBSTITUTE(SUBSTITUTE(TRIM(t)," ",""),",",""),IF(LEFT(n,1)="(",-VALUE(SUBSTITUTE(SUBSTITUTE(n,"(",""),")","")),VALUE(n)))</f>
        <v/>
      </c>
      <c r="G96" s="18">
        <f>TRIM(SUBSTITUTE(SUBSTITUTE(SUBSTITUTE(B96,_xlfn.UNICHAR(160)," "),_xlfn.UNICHAR(8207),""),_xlfn.UNICHAR(8206),""))</f>
        <v/>
      </c>
      <c r="H96" s="18">
        <f>IFERROR(INDEX(MAP[Acct],SUMPRODUCT(MATCH(1,--ISNUMBER(SEARCH(MAP[Keyword],G96)),0))),"UNMAPPED")</f>
        <v/>
      </c>
      <c r="I96" s="18">
        <f>IF(COUNTIFS($D$8:$D$108,D96,$F$8:$F$108,F96,$E$8:$E$108,E96)&gt;1,"DUP","")</f>
        <v/>
      </c>
    </row>
    <row r="97">
      <c r="A97" s="6">
        <f>'01_BANK_RAW'!A94</f>
        <v/>
      </c>
      <c r="B97" s="6">
        <f>'01_BANK_RAW'!B94</f>
        <v/>
      </c>
      <c r="C97" s="6">
        <f>'01_BANK_RAW'!C94</f>
        <v/>
      </c>
      <c r="D97" s="6">
        <f>'01_BANK_RAW'!D94</f>
        <v/>
      </c>
      <c r="E97" s="41">
        <f>_xlfn.LET(t,SUBSTITUTE(TRIM(A97),".","/"),d,VALUE(LEFT(t,FIND("/",t)-1)),r,MID(t,FIND("/",t)+1,20),m,VALUE(LEFT(r,FIND("/",r)-1)),y,VALUE(MID(r,FIND("/",r)+1,4)),DATE(IF(y&lt;100,2000+y,y),m,d))</f>
        <v/>
      </c>
      <c r="F97" s="17">
        <f>_xlfn.LET(t,SUBSTITUTE(C97,_xlfn.UNICHAR(160)," "),n,SUBSTITUTE(SUBSTITUTE(TRIM(t)," ",""),",",""),IF(LEFT(n,1)="(",-VALUE(SUBSTITUTE(SUBSTITUTE(n,"(",""),")","")),VALUE(n)))</f>
        <v/>
      </c>
      <c r="G97" s="18">
        <f>TRIM(SUBSTITUTE(SUBSTITUTE(SUBSTITUTE(B97,_xlfn.UNICHAR(160)," "),_xlfn.UNICHAR(8207),""),_xlfn.UNICHAR(8206),""))</f>
        <v/>
      </c>
      <c r="H97" s="18">
        <f>IFERROR(INDEX(MAP[Acct],SUMPRODUCT(MATCH(1,--ISNUMBER(SEARCH(MAP[Keyword],G97)),0))),"UNMAPPED")</f>
        <v/>
      </c>
      <c r="I97" s="18">
        <f>IF(COUNTIFS($D$8:$D$108,D97,$F$8:$F$108,F97,$E$8:$E$108,E97)&gt;1,"DUP","")</f>
        <v/>
      </c>
    </row>
    <row r="98">
      <c r="A98" s="6">
        <f>'01_BANK_RAW'!A95</f>
        <v/>
      </c>
      <c r="B98" s="6">
        <f>'01_BANK_RAW'!B95</f>
        <v/>
      </c>
      <c r="C98" s="6">
        <f>'01_BANK_RAW'!C95</f>
        <v/>
      </c>
      <c r="D98" s="6">
        <f>'01_BANK_RAW'!D95</f>
        <v/>
      </c>
      <c r="E98" s="41">
        <f>_xlfn.LET(t,SUBSTITUTE(TRIM(A98),".","/"),d,VALUE(LEFT(t,FIND("/",t)-1)),r,MID(t,FIND("/",t)+1,20),m,VALUE(LEFT(r,FIND("/",r)-1)),y,VALUE(MID(r,FIND("/",r)+1,4)),DATE(IF(y&lt;100,2000+y,y),m,d))</f>
        <v/>
      </c>
      <c r="F98" s="17">
        <f>_xlfn.LET(t,SUBSTITUTE(C98,_xlfn.UNICHAR(160)," "),n,SUBSTITUTE(SUBSTITUTE(TRIM(t)," ",""),",",""),IF(LEFT(n,1)="(",-VALUE(SUBSTITUTE(SUBSTITUTE(n,"(",""),")","")),VALUE(n)))</f>
        <v/>
      </c>
      <c r="G98" s="18">
        <f>TRIM(SUBSTITUTE(SUBSTITUTE(SUBSTITUTE(B98,_xlfn.UNICHAR(160)," "),_xlfn.UNICHAR(8207),""),_xlfn.UNICHAR(8206),""))</f>
        <v/>
      </c>
      <c r="H98" s="18">
        <f>IFERROR(INDEX(MAP[Acct],SUMPRODUCT(MATCH(1,--ISNUMBER(SEARCH(MAP[Keyword],G98)),0))),"UNMAPPED")</f>
        <v/>
      </c>
      <c r="I98" s="18">
        <f>IF(COUNTIFS($D$8:$D$108,D98,$F$8:$F$108,F98,$E$8:$E$108,E98)&gt;1,"DUP","")</f>
        <v/>
      </c>
    </row>
    <row r="99">
      <c r="A99" s="6">
        <f>'01_BANK_RAW'!A96</f>
        <v/>
      </c>
      <c r="B99" s="6">
        <f>'01_BANK_RAW'!B96</f>
        <v/>
      </c>
      <c r="C99" s="6">
        <f>'01_BANK_RAW'!C96</f>
        <v/>
      </c>
      <c r="D99" s="6">
        <f>'01_BANK_RAW'!D96</f>
        <v/>
      </c>
      <c r="E99" s="41">
        <f>_xlfn.LET(t,SUBSTITUTE(TRIM(A99),".","/"),d,VALUE(LEFT(t,FIND("/",t)-1)),r,MID(t,FIND("/",t)+1,20),m,VALUE(LEFT(r,FIND("/",r)-1)),y,VALUE(MID(r,FIND("/",r)+1,4)),DATE(IF(y&lt;100,2000+y,y),m,d))</f>
        <v/>
      </c>
      <c r="F99" s="17">
        <f>_xlfn.LET(t,SUBSTITUTE(C99,_xlfn.UNICHAR(160)," "),n,SUBSTITUTE(SUBSTITUTE(TRIM(t)," ",""),",",""),IF(LEFT(n,1)="(",-VALUE(SUBSTITUTE(SUBSTITUTE(n,"(",""),")","")),VALUE(n)))</f>
        <v/>
      </c>
      <c r="G99" s="18">
        <f>TRIM(SUBSTITUTE(SUBSTITUTE(SUBSTITUTE(B99,_xlfn.UNICHAR(160)," "),_xlfn.UNICHAR(8207),""),_xlfn.UNICHAR(8206),""))</f>
        <v/>
      </c>
      <c r="H99" s="18">
        <f>IFERROR(INDEX(MAP[Acct],SUMPRODUCT(MATCH(1,--ISNUMBER(SEARCH(MAP[Keyword],G99)),0))),"UNMAPPED")</f>
        <v/>
      </c>
      <c r="I99" s="18">
        <f>IF(COUNTIFS($D$8:$D$108,D99,$F$8:$F$108,F99,$E$8:$E$108,E99)&gt;1,"DUP","")</f>
        <v/>
      </c>
    </row>
    <row r="100">
      <c r="A100" s="6">
        <f>'01_BANK_RAW'!A97</f>
        <v/>
      </c>
      <c r="B100" s="6">
        <f>'01_BANK_RAW'!B97</f>
        <v/>
      </c>
      <c r="C100" s="6">
        <f>'01_BANK_RAW'!C97</f>
        <v/>
      </c>
      <c r="D100" s="6">
        <f>'01_BANK_RAW'!D97</f>
        <v/>
      </c>
      <c r="E100" s="41">
        <f>_xlfn.LET(t,SUBSTITUTE(TRIM(A100),".","/"),d,VALUE(LEFT(t,FIND("/",t)-1)),r,MID(t,FIND("/",t)+1,20),m,VALUE(LEFT(r,FIND("/",r)-1)),y,VALUE(MID(r,FIND("/",r)+1,4)),DATE(IF(y&lt;100,2000+y,y),m,d))</f>
        <v/>
      </c>
      <c r="F100" s="17">
        <f>_xlfn.LET(t,SUBSTITUTE(C100,_xlfn.UNICHAR(160)," "),n,SUBSTITUTE(SUBSTITUTE(TRIM(t)," ",""),",",""),IF(LEFT(n,1)="(",-VALUE(SUBSTITUTE(SUBSTITUTE(n,"(",""),")","")),VALUE(n)))</f>
        <v/>
      </c>
      <c r="G100" s="18">
        <f>TRIM(SUBSTITUTE(SUBSTITUTE(SUBSTITUTE(B100,_xlfn.UNICHAR(160)," "),_xlfn.UNICHAR(8207),""),_xlfn.UNICHAR(8206),""))</f>
        <v/>
      </c>
      <c r="H100" s="18">
        <f>IFERROR(INDEX(MAP[Acct],SUMPRODUCT(MATCH(1,--ISNUMBER(SEARCH(MAP[Keyword],G100)),0))),"UNMAPPED")</f>
        <v/>
      </c>
      <c r="I100" s="18">
        <f>IF(COUNTIFS($D$8:$D$108,D100,$F$8:$F$108,F100,$E$8:$E$108,E100)&gt;1,"DUP","")</f>
        <v/>
      </c>
    </row>
    <row r="101">
      <c r="A101" s="6">
        <f>'01_BANK_RAW'!A98</f>
        <v/>
      </c>
      <c r="B101" s="6">
        <f>'01_BANK_RAW'!B98</f>
        <v/>
      </c>
      <c r="C101" s="6">
        <f>'01_BANK_RAW'!C98</f>
        <v/>
      </c>
      <c r="D101" s="6">
        <f>'01_BANK_RAW'!D98</f>
        <v/>
      </c>
      <c r="E101" s="41">
        <f>_xlfn.LET(t,SUBSTITUTE(TRIM(A101),".","/"),d,VALUE(LEFT(t,FIND("/",t)-1)),r,MID(t,FIND("/",t)+1,20),m,VALUE(LEFT(r,FIND("/",r)-1)),y,VALUE(MID(r,FIND("/",r)+1,4)),DATE(IF(y&lt;100,2000+y,y),m,d))</f>
        <v/>
      </c>
      <c r="F101" s="17">
        <f>_xlfn.LET(t,SUBSTITUTE(C101,_xlfn.UNICHAR(160)," "),n,SUBSTITUTE(SUBSTITUTE(TRIM(t)," ",""),",",""),IF(LEFT(n,1)="(",-VALUE(SUBSTITUTE(SUBSTITUTE(n,"(",""),")","")),VALUE(n)))</f>
        <v/>
      </c>
      <c r="G101" s="18">
        <f>TRIM(SUBSTITUTE(SUBSTITUTE(SUBSTITUTE(B101,_xlfn.UNICHAR(160)," "),_xlfn.UNICHAR(8207),""),_xlfn.UNICHAR(8206),""))</f>
        <v/>
      </c>
      <c r="H101" s="18">
        <f>IFERROR(INDEX(MAP[Acct],SUMPRODUCT(MATCH(1,--ISNUMBER(SEARCH(MAP[Keyword],G101)),0))),"UNMAPPED")</f>
        <v/>
      </c>
      <c r="I101" s="18">
        <f>IF(COUNTIFS($D$8:$D$108,D101,$F$8:$F$108,F101,$E$8:$E$108,E101)&gt;1,"DUP","")</f>
        <v/>
      </c>
    </row>
    <row r="102">
      <c r="A102" s="6">
        <f>'01_BANK_RAW'!A99</f>
        <v/>
      </c>
      <c r="B102" s="6">
        <f>'01_BANK_RAW'!B99</f>
        <v/>
      </c>
      <c r="C102" s="6">
        <f>'01_BANK_RAW'!C99</f>
        <v/>
      </c>
      <c r="D102" s="6">
        <f>'01_BANK_RAW'!D99</f>
        <v/>
      </c>
      <c r="E102" s="41">
        <f>_xlfn.LET(t,SUBSTITUTE(TRIM(A102),".","/"),d,VALUE(LEFT(t,FIND("/",t)-1)),r,MID(t,FIND("/",t)+1,20),m,VALUE(LEFT(r,FIND("/",r)-1)),y,VALUE(MID(r,FIND("/",r)+1,4)),DATE(IF(y&lt;100,2000+y,y),m,d))</f>
        <v/>
      </c>
      <c r="F102" s="17">
        <f>_xlfn.LET(t,SUBSTITUTE(C102,_xlfn.UNICHAR(160)," "),n,SUBSTITUTE(SUBSTITUTE(TRIM(t)," ",""),",",""),IF(LEFT(n,1)="(",-VALUE(SUBSTITUTE(SUBSTITUTE(n,"(",""),")","")),VALUE(n)))</f>
        <v/>
      </c>
      <c r="G102" s="18">
        <f>TRIM(SUBSTITUTE(SUBSTITUTE(SUBSTITUTE(B102,_xlfn.UNICHAR(160)," "),_xlfn.UNICHAR(8207),""),_xlfn.UNICHAR(8206),""))</f>
        <v/>
      </c>
      <c r="H102" s="18">
        <f>IFERROR(INDEX(MAP[Acct],SUMPRODUCT(MATCH(1,--ISNUMBER(SEARCH(MAP[Keyword],G102)),0))),"UNMAPPED")</f>
        <v/>
      </c>
      <c r="I102" s="18">
        <f>IF(COUNTIFS($D$8:$D$108,D102,$F$8:$F$108,F102,$E$8:$E$108,E102)&gt;1,"DUP","")</f>
        <v/>
      </c>
    </row>
    <row r="103">
      <c r="A103" s="6">
        <f>'01_BANK_RAW'!A100</f>
        <v/>
      </c>
      <c r="B103" s="6">
        <f>'01_BANK_RAW'!B100</f>
        <v/>
      </c>
      <c r="C103" s="6">
        <f>'01_BANK_RAW'!C100</f>
        <v/>
      </c>
      <c r="D103" s="6">
        <f>'01_BANK_RAW'!D100</f>
        <v/>
      </c>
      <c r="E103" s="41">
        <f>_xlfn.LET(t,SUBSTITUTE(TRIM(A103),".","/"),d,VALUE(LEFT(t,FIND("/",t)-1)),r,MID(t,FIND("/",t)+1,20),m,VALUE(LEFT(r,FIND("/",r)-1)),y,VALUE(MID(r,FIND("/",r)+1,4)),DATE(IF(y&lt;100,2000+y,y),m,d))</f>
        <v/>
      </c>
      <c r="F103" s="17">
        <f>_xlfn.LET(t,SUBSTITUTE(C103,_xlfn.UNICHAR(160)," "),n,SUBSTITUTE(SUBSTITUTE(TRIM(t)," ",""),",",""),IF(LEFT(n,1)="(",-VALUE(SUBSTITUTE(SUBSTITUTE(n,"(",""),")","")),VALUE(n)))</f>
        <v/>
      </c>
      <c r="G103" s="18">
        <f>TRIM(SUBSTITUTE(SUBSTITUTE(SUBSTITUTE(B103,_xlfn.UNICHAR(160)," "),_xlfn.UNICHAR(8207),""),_xlfn.UNICHAR(8206),""))</f>
        <v/>
      </c>
      <c r="H103" s="18">
        <f>IFERROR(INDEX(MAP[Acct],SUMPRODUCT(MATCH(1,--ISNUMBER(SEARCH(MAP[Keyword],G103)),0))),"UNMAPPED")</f>
        <v/>
      </c>
      <c r="I103" s="18">
        <f>IF(COUNTIFS($D$8:$D$108,D103,$F$8:$F$108,F103,$E$8:$E$108,E103)&gt;1,"DUP","")</f>
        <v/>
      </c>
    </row>
    <row r="104">
      <c r="A104" s="6">
        <f>'01_BANK_RAW'!A101</f>
        <v/>
      </c>
      <c r="B104" s="6">
        <f>'01_BANK_RAW'!B101</f>
        <v/>
      </c>
      <c r="C104" s="6">
        <f>'01_BANK_RAW'!C101</f>
        <v/>
      </c>
      <c r="D104" s="6">
        <f>'01_BANK_RAW'!D101</f>
        <v/>
      </c>
      <c r="E104" s="41">
        <f>_xlfn.LET(t,SUBSTITUTE(TRIM(A104),".","/"),d,VALUE(LEFT(t,FIND("/",t)-1)),r,MID(t,FIND("/",t)+1,20),m,VALUE(LEFT(r,FIND("/",r)-1)),y,VALUE(MID(r,FIND("/",r)+1,4)),DATE(IF(y&lt;100,2000+y,y),m,d))</f>
        <v/>
      </c>
      <c r="F104" s="17">
        <f>_xlfn.LET(t,SUBSTITUTE(C104,_xlfn.UNICHAR(160)," "),n,SUBSTITUTE(SUBSTITUTE(TRIM(t)," ",""),",",""),IF(LEFT(n,1)="(",-VALUE(SUBSTITUTE(SUBSTITUTE(n,"(",""),")","")),VALUE(n)))</f>
        <v/>
      </c>
      <c r="G104" s="18">
        <f>TRIM(SUBSTITUTE(SUBSTITUTE(SUBSTITUTE(B104,_xlfn.UNICHAR(160)," "),_xlfn.UNICHAR(8207),""),_xlfn.UNICHAR(8206),""))</f>
        <v/>
      </c>
      <c r="H104" s="18">
        <f>IFERROR(INDEX(MAP[Acct],SUMPRODUCT(MATCH(1,--ISNUMBER(SEARCH(MAP[Keyword],G104)),0))),"UNMAPPED")</f>
        <v/>
      </c>
      <c r="I104" s="18">
        <f>IF(COUNTIFS($D$8:$D$108,D104,$F$8:$F$108,F104,$E$8:$E$108,E104)&gt;1,"DUP","")</f>
        <v/>
      </c>
    </row>
    <row r="105">
      <c r="A105" s="6">
        <f>'01_BANK_RAW'!A102</f>
        <v/>
      </c>
      <c r="B105" s="6">
        <f>'01_BANK_RAW'!B102</f>
        <v/>
      </c>
      <c r="C105" s="6">
        <f>'01_BANK_RAW'!C102</f>
        <v/>
      </c>
      <c r="D105" s="6">
        <f>'01_BANK_RAW'!D102</f>
        <v/>
      </c>
      <c r="E105" s="41">
        <f>_xlfn.LET(t,SUBSTITUTE(TRIM(A105),".","/"),d,VALUE(LEFT(t,FIND("/",t)-1)),r,MID(t,FIND("/",t)+1,20),m,VALUE(LEFT(r,FIND("/",r)-1)),y,VALUE(MID(r,FIND("/",r)+1,4)),DATE(IF(y&lt;100,2000+y,y),m,d))</f>
        <v/>
      </c>
      <c r="F105" s="17">
        <f>_xlfn.LET(t,SUBSTITUTE(C105,_xlfn.UNICHAR(160)," "),n,SUBSTITUTE(SUBSTITUTE(TRIM(t)," ",""),",",""),IF(LEFT(n,1)="(",-VALUE(SUBSTITUTE(SUBSTITUTE(n,"(",""),")","")),VALUE(n)))</f>
        <v/>
      </c>
      <c r="G105" s="18">
        <f>TRIM(SUBSTITUTE(SUBSTITUTE(SUBSTITUTE(B105,_xlfn.UNICHAR(160)," "),_xlfn.UNICHAR(8207),""),_xlfn.UNICHAR(8206),""))</f>
        <v/>
      </c>
      <c r="H105" s="18">
        <f>IFERROR(INDEX(MAP[Acct],SUMPRODUCT(MATCH(1,--ISNUMBER(SEARCH(MAP[Keyword],G105)),0))),"UNMAPPED")</f>
        <v/>
      </c>
      <c r="I105" s="18">
        <f>IF(COUNTIFS($D$8:$D$108,D105,$F$8:$F$108,F105,$E$8:$E$108,E105)&gt;1,"DUP","")</f>
        <v/>
      </c>
    </row>
    <row r="106">
      <c r="A106" s="6">
        <f>'01_BANK_RAW'!A103</f>
        <v/>
      </c>
      <c r="B106" s="6">
        <f>'01_BANK_RAW'!B103</f>
        <v/>
      </c>
      <c r="C106" s="6">
        <f>'01_BANK_RAW'!C103</f>
        <v/>
      </c>
      <c r="D106" s="6">
        <f>'01_BANK_RAW'!D103</f>
        <v/>
      </c>
      <c r="E106" s="41">
        <f>_xlfn.LET(t,SUBSTITUTE(TRIM(A106),".","/"),d,VALUE(LEFT(t,FIND("/",t)-1)),r,MID(t,FIND("/",t)+1,20),m,VALUE(LEFT(r,FIND("/",r)-1)),y,VALUE(MID(r,FIND("/",r)+1,4)),DATE(IF(y&lt;100,2000+y,y),m,d))</f>
        <v/>
      </c>
      <c r="F106" s="17">
        <f>_xlfn.LET(t,SUBSTITUTE(C106,_xlfn.UNICHAR(160)," "),n,SUBSTITUTE(SUBSTITUTE(TRIM(t)," ",""),",",""),IF(LEFT(n,1)="(",-VALUE(SUBSTITUTE(SUBSTITUTE(n,"(",""),")","")),VALUE(n)))</f>
        <v/>
      </c>
      <c r="G106" s="18">
        <f>TRIM(SUBSTITUTE(SUBSTITUTE(SUBSTITUTE(B106,_xlfn.UNICHAR(160)," "),_xlfn.UNICHAR(8207),""),_xlfn.UNICHAR(8206),""))</f>
        <v/>
      </c>
      <c r="H106" s="18">
        <f>IFERROR(INDEX(MAP[Acct],SUMPRODUCT(MATCH(1,--ISNUMBER(SEARCH(MAP[Keyword],G106)),0))),"UNMAPPED")</f>
        <v/>
      </c>
      <c r="I106" s="18">
        <f>IF(COUNTIFS($D$8:$D$108,D106,$F$8:$F$108,F106,$E$8:$E$108,E106)&gt;1,"DUP","")</f>
        <v/>
      </c>
    </row>
    <row r="107">
      <c r="A107" s="6">
        <f>'01_BANK_RAW'!A104</f>
        <v/>
      </c>
      <c r="B107" s="6">
        <f>'01_BANK_RAW'!B104</f>
        <v/>
      </c>
      <c r="C107" s="6">
        <f>'01_BANK_RAW'!C104</f>
        <v/>
      </c>
      <c r="D107" s="6">
        <f>'01_BANK_RAW'!D104</f>
        <v/>
      </c>
      <c r="E107" s="41">
        <f>_xlfn.LET(t,SUBSTITUTE(TRIM(A107),".","/"),d,VALUE(LEFT(t,FIND("/",t)-1)),r,MID(t,FIND("/",t)+1,20),m,VALUE(LEFT(r,FIND("/",r)-1)),y,VALUE(MID(r,FIND("/",r)+1,4)),DATE(IF(y&lt;100,2000+y,y),m,d))</f>
        <v/>
      </c>
      <c r="F107" s="17">
        <f>_xlfn.LET(t,SUBSTITUTE(C107,_xlfn.UNICHAR(160)," "),n,SUBSTITUTE(SUBSTITUTE(TRIM(t)," ",""),",",""),IF(LEFT(n,1)="(",-VALUE(SUBSTITUTE(SUBSTITUTE(n,"(",""),")","")),VALUE(n)))</f>
        <v/>
      </c>
      <c r="G107" s="18">
        <f>TRIM(SUBSTITUTE(SUBSTITUTE(SUBSTITUTE(B107,_xlfn.UNICHAR(160)," "),_xlfn.UNICHAR(8207),""),_xlfn.UNICHAR(8206),""))</f>
        <v/>
      </c>
      <c r="H107" s="18">
        <f>IFERROR(INDEX(MAP[Acct],SUMPRODUCT(MATCH(1,--ISNUMBER(SEARCH(MAP[Keyword],G107)),0))),"UNMAPPED")</f>
        <v/>
      </c>
      <c r="I107" s="18">
        <f>IF(COUNTIFS($D$8:$D$108,D107,$F$8:$F$108,F107,$E$8:$E$108,E107)&gt;1,"DUP","")</f>
        <v/>
      </c>
    </row>
    <row r="108">
      <c r="A108" s="6">
        <f>'01_BANK_RAW'!A105</f>
        <v/>
      </c>
      <c r="B108" s="6">
        <f>'01_BANK_RAW'!B105</f>
        <v/>
      </c>
      <c r="C108" s="6">
        <f>'01_BANK_RAW'!C105</f>
        <v/>
      </c>
      <c r="D108" s="6">
        <f>'01_BANK_RAW'!D105</f>
        <v/>
      </c>
      <c r="E108" s="41">
        <f>_xlfn.LET(t,SUBSTITUTE(TRIM(A108),".","/"),d,VALUE(LEFT(t,FIND("/",t)-1)),r,MID(t,FIND("/",t)+1,20),m,VALUE(LEFT(r,FIND("/",r)-1)),y,VALUE(MID(r,FIND("/",r)+1,4)),DATE(IF(y&lt;100,2000+y,y),m,d))</f>
        <v/>
      </c>
      <c r="F108" s="17">
        <f>_xlfn.LET(t,SUBSTITUTE(C108,_xlfn.UNICHAR(160)," "),n,SUBSTITUTE(SUBSTITUTE(TRIM(t)," ",""),",",""),IF(LEFT(n,1)="(",-VALUE(SUBSTITUTE(SUBSTITUTE(n,"(",""),")","")),VALUE(n)))</f>
        <v/>
      </c>
      <c r="G108" s="18">
        <f>TRIM(SUBSTITUTE(SUBSTITUTE(SUBSTITUTE(B108,_xlfn.UNICHAR(160)," "),_xlfn.UNICHAR(8207),""),_xlfn.UNICHAR(8206),""))</f>
        <v/>
      </c>
      <c r="H108" s="18">
        <f>IFERROR(INDEX(MAP[Acct],SUMPRODUCT(MATCH(1,--ISNUMBER(SEARCH(MAP[Keyword],G108)),0))),"UNMAPPED")</f>
        <v/>
      </c>
      <c r="I108" s="18">
        <f>IF(COUNTIFS($D$8:$D$108,D108,$F$8:$F$108,F108,$E$8:$E$108,E108)&gt;1,"DUP","")</f>
        <v/>
      </c>
    </row>
    <row r="109"/>
    <row r="111">
      <c r="A111" s="19" t="inlineStr">
        <is>
          <t>בקרת איכות הניקוי</t>
        </is>
      </c>
    </row>
    <row r="112">
      <c r="A112" s="3" t="inlineStr">
        <is>
          <t>שורות שנקלטו</t>
        </is>
      </c>
      <c r="B112" s="17">
        <f>COUNTA(D8:D108)</f>
        <v/>
      </c>
    </row>
    <row r="113">
      <c r="A113" s="3" t="inlineStr">
        <is>
          <t>שורות שלא סווגו</t>
        </is>
      </c>
      <c r="B113" s="17">
        <f>COUNTIF(H8:H108,"UNMAPPED")</f>
        <v/>
      </c>
    </row>
    <row r="114">
      <c r="A114" s="3" t="inlineStr">
        <is>
          <t>שורות שסומנו ככפילות</t>
        </is>
      </c>
      <c r="B114" s="17">
        <f>COUNTIF(I8:I108,"DUP")</f>
        <v/>
      </c>
    </row>
    <row r="115">
      <c r="A115" s="3" t="inlineStr">
        <is>
          <t>סה"כ תקבולים בקובץ, ללא כפילויות</t>
        </is>
      </c>
      <c r="B115" s="17">
        <f>SUMIFS(F8:F108,I8:I108,"",F8:F108,"&gt;0")</f>
        <v/>
      </c>
    </row>
    <row r="116">
      <c r="A116" s="3" t="inlineStr">
        <is>
          <t>סה"כ תשלומים בקובץ, ללא כפילויות</t>
        </is>
      </c>
      <c r="B116" s="17">
        <f>SUMIFS(F8:F108,I8:I108,"",F8:F108,"&lt;0")</f>
        <v/>
      </c>
    </row>
    <row r="117">
      <c r="A117" s="3" t="inlineStr">
        <is>
          <t>סה"כ תשלומי מס בתקופה</t>
        </is>
      </c>
      <c r="B117" s="17">
        <f>SUMIFS(F8:F108,H8:H108,"TAX",I8:I108,"")</f>
        <v/>
      </c>
    </row>
    <row r="118">
      <c r="A118" s="3" t="inlineStr">
        <is>
          <t>משיכות בעלים, דגל לסעיף 3(ט1)</t>
        </is>
      </c>
      <c r="B118" s="17">
        <f>SUMIFS(F8:F108,H8:H108,"OWNER",I8:I108,"")</f>
        <v/>
      </c>
    </row>
    <row r="121">
      <c r="A121" s="19" t="inlineStr">
        <is>
          <t>מקרא הקודים</t>
        </is>
      </c>
    </row>
    <row r="122">
      <c r="A122" s="6" t="inlineStr">
        <is>
          <t>UNMAPPED</t>
        </is>
      </c>
      <c r="B122" s="12" t="inlineStr">
        <is>
          <t>לא נמצאה מילת מפתח מתאימה</t>
        </is>
      </c>
    </row>
    <row r="123">
      <c r="A123" s="6" t="inlineStr">
        <is>
          <t>DUP</t>
        </is>
      </c>
      <c r="B123" s="12" t="inlineStr">
        <is>
          <t>השורה מופיעה יותר מפעם אחת</t>
        </is>
      </c>
    </row>
    <row r="124">
      <c r="A124" s="6" t="inlineStr">
        <is>
          <t>TAX</t>
        </is>
      </c>
      <c r="B124" s="12" t="inlineStr">
        <is>
          <t>תשלומי מס</t>
        </is>
      </c>
    </row>
    <row r="125">
      <c r="A125" s="6" t="inlineStr">
        <is>
          <t>OWNER</t>
        </is>
      </c>
      <c r="B125" s="12" t="inlineStr">
        <is>
          <t>משיכות בעלים</t>
        </is>
      </c>
    </row>
    <row r="127">
      <c r="A127" s="15" t="inlineStr">
        <is>
          <t>הקובץ הוא מדגם תנועות בנק לחצי שנה לצורך תרגול ניקוי, ולא דוח תזרים מלא. שורת משיכות הבעלים היא הדגל האדום: משיכה שמצטברת ביוני ניתנת עוד לתיקון, אותה משיכה שמתגלה במרץ שאחרי היא כבר חבות מס.</t>
        </is>
      </c>
    </row>
  </sheetData>
  <mergeCells count="5">
    <mergeCell ref="A2:I2"/>
    <mergeCell ref="A5:I5"/>
    <mergeCell ref="A1:I1"/>
    <mergeCell ref="A3:I3"/>
    <mergeCell ref="A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72"/>
  <sheetViews>
    <sheetView rightToLeft="1" workbookViewId="0">
      <pane ySplit="4" topLeftCell="A5" activePane="bottomLeft" state="frozen"/>
      <selection pane="bottomLeft" activeCell="A1" sqref="A1"/>
    </sheetView>
  </sheetViews>
  <sheetFormatPr baseColWidth="8" defaultRowHeight="15"/>
  <cols>
    <col width="8" customWidth="1" min="1" max="1"/>
    <col width="12" customWidth="1" min="2" max="2"/>
    <col width="11" customWidth="1" min="3" max="3"/>
    <col width="15" customWidth="1" min="4" max="4"/>
    <col width="10" customWidth="1" min="5" max="5"/>
    <col width="14" customWidth="1" min="6" max="6"/>
    <col width="15" customWidth="1" min="7" max="7"/>
    <col width="18" customWidth="1" min="8" max="8"/>
    <col width="13" customWidth="1" min="9" max="9"/>
  </cols>
  <sheetData>
    <row r="1" ht="32" customHeight="1">
      <c r="A1" s="1" t="inlineStr">
        <is>
          <t>Budget 2026 · התקציב המאושר</t>
        </is>
      </c>
    </row>
    <row r="2" ht="18" customHeight="1">
      <c r="A2" s="2" t="inlineStr">
        <is>
          <t>אושר בדצמבר 2025 ולא עודכן מאז. בדיוק הבעיה שמעבדה 6 פותרת.</t>
        </is>
      </c>
    </row>
    <row r="4" ht="28" customHeight="1">
      <c r="A4" s="9" t="inlineStr">
        <is>
          <t>Month</t>
        </is>
      </c>
      <c r="B4" s="9" t="inlineStr">
        <is>
          <t>MonthName</t>
        </is>
      </c>
      <c r="C4" s="9" t="inlineStr">
        <is>
          <t>Dept</t>
        </is>
      </c>
      <c r="D4" s="9" t="inlineStr">
        <is>
          <t>DeptName</t>
        </is>
      </c>
      <c r="E4" s="9" t="inlineStr">
        <is>
          <t>Grp</t>
        </is>
      </c>
      <c r="F4" s="9" t="inlineStr">
        <is>
          <t>GrpName</t>
        </is>
      </c>
      <c r="G4" s="9" t="inlineStr">
        <is>
          <t>Acct</t>
        </is>
      </c>
      <c r="H4" s="9" t="inlineStr">
        <is>
          <t>AcctName</t>
        </is>
      </c>
      <c r="I4" s="9" t="inlineStr">
        <is>
          <t>Budget</t>
        </is>
      </c>
    </row>
    <row r="5">
      <c r="A5" s="12" t="n">
        <v>1</v>
      </c>
      <c r="B5" s="12" t="inlineStr">
        <is>
          <t>Jan</t>
        </is>
      </c>
      <c r="C5" s="12" t="inlineStr">
        <is>
          <t>SALES</t>
        </is>
      </c>
      <c r="D5" s="12" t="inlineStr">
        <is>
          <t>Direct Sales</t>
        </is>
      </c>
      <c r="E5" s="12" t="inlineStr">
        <is>
          <t>REVENUE</t>
        </is>
      </c>
      <c r="F5" s="12" t="inlineStr">
        <is>
          <t>Revenue</t>
        </is>
      </c>
      <c r="G5" s="12" t="inlineStr">
        <is>
          <t>REVENUE_PROD</t>
        </is>
      </c>
      <c r="H5" s="12" t="inlineStr">
        <is>
          <t>Product Revenue</t>
        </is>
      </c>
      <c r="I5" s="13" t="n">
        <v>491040</v>
      </c>
    </row>
    <row r="6">
      <c r="A6" s="12" t="n">
        <v>1</v>
      </c>
      <c r="B6" s="12" t="inlineStr">
        <is>
          <t>Jan</t>
        </is>
      </c>
      <c r="C6" s="12" t="inlineStr">
        <is>
          <t>CHANNEL</t>
        </is>
      </c>
      <c r="D6" s="12" t="inlineStr">
        <is>
          <t>Distributor Channel</t>
        </is>
      </c>
      <c r="E6" s="12" t="inlineStr">
        <is>
          <t>REVENUE</t>
        </is>
      </c>
      <c r="F6" s="12" t="inlineStr">
        <is>
          <t>Revenue</t>
        </is>
      </c>
      <c r="G6" s="12" t="inlineStr">
        <is>
          <t>REVENUE_PROD</t>
        </is>
      </c>
      <c r="H6" s="12" t="inlineStr">
        <is>
          <t>Product Revenue</t>
        </is>
      </c>
      <c r="I6" s="13" t="n">
        <v>267840</v>
      </c>
    </row>
    <row r="7">
      <c r="A7" s="12" t="n">
        <v>1</v>
      </c>
      <c r="B7" s="12" t="inlineStr">
        <is>
          <t>Jan</t>
        </is>
      </c>
      <c r="C7" s="12" t="inlineStr">
        <is>
          <t>SERVICE</t>
        </is>
      </c>
      <c r="D7" s="12" t="inlineStr">
        <is>
          <t>Service and Support</t>
        </is>
      </c>
      <c r="E7" s="12" t="inlineStr">
        <is>
          <t>REVENUE</t>
        </is>
      </c>
      <c r="F7" s="12" t="inlineStr">
        <is>
          <t>Revenue</t>
        </is>
      </c>
      <c r="G7" s="12" t="inlineStr">
        <is>
          <t>REVENUE_PROD</t>
        </is>
      </c>
      <c r="H7" s="12" t="inlineStr">
        <is>
          <t>Product Revenue</t>
        </is>
      </c>
      <c r="I7" s="13" t="n">
        <v>133920</v>
      </c>
    </row>
    <row r="8">
      <c r="A8" s="12" t="n">
        <v>1</v>
      </c>
      <c r="B8" s="12" t="inlineStr">
        <is>
          <t>Jan</t>
        </is>
      </c>
      <c r="C8" s="12" t="inlineStr">
        <is>
          <t>SALES</t>
        </is>
      </c>
      <c r="D8" s="12" t="inlineStr">
        <is>
          <t>Direct Sales</t>
        </is>
      </c>
      <c r="E8" s="12" t="inlineStr">
        <is>
          <t>REVENUE</t>
        </is>
      </c>
      <c r="F8" s="12" t="inlineStr">
        <is>
          <t>Revenue</t>
        </is>
      </c>
      <c r="G8" s="12" t="inlineStr">
        <is>
          <t>REVENUE_SVC</t>
        </is>
      </c>
      <c r="H8" s="12" t="inlineStr">
        <is>
          <t>Service Revenue</t>
        </is>
      </c>
      <c r="I8" s="13" t="n">
        <v>4140</v>
      </c>
    </row>
    <row r="9">
      <c r="A9" s="12" t="n">
        <v>1</v>
      </c>
      <c r="B9" s="12" t="inlineStr">
        <is>
          <t>Jan</t>
        </is>
      </c>
      <c r="C9" s="12" t="inlineStr">
        <is>
          <t>CHANNEL</t>
        </is>
      </c>
      <c r="D9" s="12" t="inlineStr">
        <is>
          <t>Distributor Channel</t>
        </is>
      </c>
      <c r="E9" s="12" t="inlineStr">
        <is>
          <t>REVENUE</t>
        </is>
      </c>
      <c r="F9" s="12" t="inlineStr">
        <is>
          <t>Revenue</t>
        </is>
      </c>
      <c r="G9" s="12" t="inlineStr">
        <is>
          <t>REVENUE_SVC</t>
        </is>
      </c>
      <c r="H9" s="12" t="inlineStr">
        <is>
          <t>Service Revenue</t>
        </is>
      </c>
      <c r="I9" s="13" t="n">
        <v>4140</v>
      </c>
    </row>
    <row r="10">
      <c r="A10" s="12" t="n">
        <v>1</v>
      </c>
      <c r="B10" s="12" t="inlineStr">
        <is>
          <t>Jan</t>
        </is>
      </c>
      <c r="C10" s="12" t="inlineStr">
        <is>
          <t>SERVICE</t>
        </is>
      </c>
      <c r="D10" s="12" t="inlineStr">
        <is>
          <t>Service and Support</t>
        </is>
      </c>
      <c r="E10" s="12" t="inlineStr">
        <is>
          <t>REVENUE</t>
        </is>
      </c>
      <c r="F10" s="12" t="inlineStr">
        <is>
          <t>Revenue</t>
        </is>
      </c>
      <c r="G10" s="12" t="inlineStr">
        <is>
          <t>REVENUE_SVC</t>
        </is>
      </c>
      <c r="H10" s="12" t="inlineStr">
        <is>
          <t>Service Revenue</t>
        </is>
      </c>
      <c r="I10" s="13" t="n">
        <v>74520</v>
      </c>
    </row>
    <row r="11">
      <c r="A11" s="12" t="n">
        <v>1</v>
      </c>
      <c r="B11" s="12" t="inlineStr">
        <is>
          <t>Jan</t>
        </is>
      </c>
      <c r="C11" s="12" t="inlineStr">
        <is>
          <t>SALES</t>
        </is>
      </c>
      <c r="D11" s="12" t="inlineStr">
        <is>
          <t>Direct Sales</t>
        </is>
      </c>
      <c r="E11" s="12" t="inlineStr">
        <is>
          <t>COGS</t>
        </is>
      </c>
      <c r="F11" s="12" t="inlineStr">
        <is>
          <t>Cost of Sales</t>
        </is>
      </c>
      <c r="G11" s="12" t="inlineStr">
        <is>
          <t>COGS</t>
        </is>
      </c>
      <c r="H11" s="12" t="inlineStr">
        <is>
          <t>Cost of Goods Sold</t>
        </is>
      </c>
      <c r="I11" s="13" t="n">
        <v>319176</v>
      </c>
    </row>
    <row r="12">
      <c r="A12" s="12" t="n">
        <v>1</v>
      </c>
      <c r="B12" s="12" t="inlineStr">
        <is>
          <t>Jan</t>
        </is>
      </c>
      <c r="C12" s="12" t="inlineStr">
        <is>
          <t>CHANNEL</t>
        </is>
      </c>
      <c r="D12" s="12" t="inlineStr">
        <is>
          <t>Distributor Channel</t>
        </is>
      </c>
      <c r="E12" s="12" t="inlineStr">
        <is>
          <t>COGS</t>
        </is>
      </c>
      <c r="F12" s="12" t="inlineStr">
        <is>
          <t>Cost of Sales</t>
        </is>
      </c>
      <c r="G12" s="12" t="inlineStr">
        <is>
          <t>COGS</t>
        </is>
      </c>
      <c r="H12" s="12" t="inlineStr">
        <is>
          <t>Cost of Goods Sold</t>
        </is>
      </c>
      <c r="I12" s="13" t="n">
        <v>174096</v>
      </c>
    </row>
    <row r="13">
      <c r="A13" s="12" t="n">
        <v>1</v>
      </c>
      <c r="B13" s="12" t="inlineStr">
        <is>
          <t>Jan</t>
        </is>
      </c>
      <c r="C13" s="12" t="inlineStr">
        <is>
          <t>SERVICE</t>
        </is>
      </c>
      <c r="D13" s="12" t="inlineStr">
        <is>
          <t>Service and Support</t>
        </is>
      </c>
      <c r="E13" s="12" t="inlineStr">
        <is>
          <t>COGS</t>
        </is>
      </c>
      <c r="F13" s="12" t="inlineStr">
        <is>
          <t>Cost of Sales</t>
        </is>
      </c>
      <c r="G13" s="12" t="inlineStr">
        <is>
          <t>COGS</t>
        </is>
      </c>
      <c r="H13" s="12" t="inlineStr">
        <is>
          <t>Cost of Goods Sold</t>
        </is>
      </c>
      <c r="I13" s="13" t="n">
        <v>87048</v>
      </c>
    </row>
    <row r="14">
      <c r="A14" s="12" t="n">
        <v>1</v>
      </c>
      <c r="B14" s="12" t="inlineStr">
        <is>
          <t>Jan</t>
        </is>
      </c>
      <c r="C14" s="12" t="inlineStr">
        <is>
          <t>SALES</t>
        </is>
      </c>
      <c r="D14" s="12" t="inlineStr">
        <is>
          <t>Direct Sales</t>
        </is>
      </c>
      <c r="E14" s="12" t="inlineStr">
        <is>
          <t>OPEX</t>
        </is>
      </c>
      <c r="F14" s="12" t="inlineStr">
        <is>
          <t>Operating Expenses</t>
        </is>
      </c>
      <c r="G14" s="12" t="inlineStr">
        <is>
          <t>SALARY</t>
        </is>
      </c>
      <c r="H14" s="12" t="inlineStr">
        <is>
          <t>Payroll</t>
        </is>
      </c>
      <c r="I14" s="13" t="n">
        <v>81180</v>
      </c>
    </row>
    <row r="15">
      <c r="A15" s="12" t="n">
        <v>1</v>
      </c>
      <c r="B15" s="12" t="inlineStr">
        <is>
          <t>Jan</t>
        </is>
      </c>
      <c r="C15" s="12" t="inlineStr">
        <is>
          <t>CHANNEL</t>
        </is>
      </c>
      <c r="D15" s="12" t="inlineStr">
        <is>
          <t>Distributor Channel</t>
        </is>
      </c>
      <c r="E15" s="12" t="inlineStr">
        <is>
          <t>OPEX</t>
        </is>
      </c>
      <c r="F15" s="12" t="inlineStr">
        <is>
          <t>Operating Expenses</t>
        </is>
      </c>
      <c r="G15" s="12" t="inlineStr">
        <is>
          <t>SALARY</t>
        </is>
      </c>
      <c r="H15" s="12" t="inlineStr">
        <is>
          <t>Payroll</t>
        </is>
      </c>
      <c r="I15" s="13" t="n">
        <v>44280</v>
      </c>
    </row>
    <row r="16">
      <c r="A16" s="12" t="n">
        <v>1</v>
      </c>
      <c r="B16" s="12" t="inlineStr">
        <is>
          <t>Jan</t>
        </is>
      </c>
      <c r="C16" s="12" t="inlineStr">
        <is>
          <t>SERVICE</t>
        </is>
      </c>
      <c r="D16" s="12" t="inlineStr">
        <is>
          <t>Service and Support</t>
        </is>
      </c>
      <c r="E16" s="12" t="inlineStr">
        <is>
          <t>OPEX</t>
        </is>
      </c>
      <c r="F16" s="12" t="inlineStr">
        <is>
          <t>Operating Expenses</t>
        </is>
      </c>
      <c r="G16" s="12" t="inlineStr">
        <is>
          <t>SALARY</t>
        </is>
      </c>
      <c r="H16" s="12" t="inlineStr">
        <is>
          <t>Payroll</t>
        </is>
      </c>
      <c r="I16" s="13" t="n">
        <v>22140</v>
      </c>
    </row>
    <row r="17">
      <c r="A17" s="12" t="n">
        <v>1</v>
      </c>
      <c r="B17" s="12" t="inlineStr">
        <is>
          <t>Jan</t>
        </is>
      </c>
      <c r="C17" s="12" t="inlineStr">
        <is>
          <t>SALES</t>
        </is>
      </c>
      <c r="D17" s="12" t="inlineStr">
        <is>
          <t>Direct Sales</t>
        </is>
      </c>
      <c r="E17" s="12" t="inlineStr">
        <is>
          <t>OPEX</t>
        </is>
      </c>
      <c r="F17" s="12" t="inlineStr">
        <is>
          <t>Operating Expenses</t>
        </is>
      </c>
      <c r="G17" s="12" t="inlineStr">
        <is>
          <t>RENT</t>
        </is>
      </c>
      <c r="H17" s="12" t="inlineStr">
        <is>
          <t>Rent and Facilities</t>
        </is>
      </c>
      <c r="I17" s="13" t="n">
        <v>9694</v>
      </c>
    </row>
    <row r="18">
      <c r="A18" s="12" t="n">
        <v>1</v>
      </c>
      <c r="B18" s="12" t="inlineStr">
        <is>
          <t>Jan</t>
        </is>
      </c>
      <c r="C18" s="12" t="inlineStr">
        <is>
          <t>CHANNEL</t>
        </is>
      </c>
      <c r="D18" s="12" t="inlineStr">
        <is>
          <t>Distributor Channel</t>
        </is>
      </c>
      <c r="E18" s="12" t="inlineStr">
        <is>
          <t>OPEX</t>
        </is>
      </c>
      <c r="F18" s="12" t="inlineStr">
        <is>
          <t>Operating Expenses</t>
        </is>
      </c>
      <c r="G18" s="12" t="inlineStr">
        <is>
          <t>RENT</t>
        </is>
      </c>
      <c r="H18" s="12" t="inlineStr">
        <is>
          <t>Rent and Facilities</t>
        </is>
      </c>
      <c r="I18" s="13" t="n">
        <v>9409</v>
      </c>
    </row>
    <row r="19">
      <c r="A19" s="12" t="n">
        <v>1</v>
      </c>
      <c r="B19" s="12" t="inlineStr">
        <is>
          <t>Jan</t>
        </is>
      </c>
      <c r="C19" s="12" t="inlineStr">
        <is>
          <t>SERVICE</t>
        </is>
      </c>
      <c r="D19" s="12" t="inlineStr">
        <is>
          <t>Service and Support</t>
        </is>
      </c>
      <c r="E19" s="12" t="inlineStr">
        <is>
          <t>OPEX</t>
        </is>
      </c>
      <c r="F19" s="12" t="inlineStr">
        <is>
          <t>Operating Expenses</t>
        </is>
      </c>
      <c r="G19" s="12" t="inlineStr">
        <is>
          <t>RENT</t>
        </is>
      </c>
      <c r="H19" s="12" t="inlineStr">
        <is>
          <t>Rent and Facilities</t>
        </is>
      </c>
      <c r="I19" s="13" t="n">
        <v>9409</v>
      </c>
    </row>
    <row r="20">
      <c r="A20" s="12" t="n">
        <v>1</v>
      </c>
      <c r="B20" s="12" t="inlineStr">
        <is>
          <t>Jan</t>
        </is>
      </c>
      <c r="C20" s="12" t="inlineStr">
        <is>
          <t>SALES</t>
        </is>
      </c>
      <c r="D20" s="12" t="inlineStr">
        <is>
          <t>Direct Sales</t>
        </is>
      </c>
      <c r="E20" s="12" t="inlineStr">
        <is>
          <t>OPEX</t>
        </is>
      </c>
      <c r="F20" s="12" t="inlineStr">
        <is>
          <t>Operating Expenses</t>
        </is>
      </c>
      <c r="G20" s="12" t="inlineStr">
        <is>
          <t>VEHICLE</t>
        </is>
      </c>
      <c r="H20" s="12" t="inlineStr">
        <is>
          <t>Vehicle</t>
        </is>
      </c>
      <c r="I20" s="13" t="n">
        <v>8474</v>
      </c>
    </row>
    <row r="21">
      <c r="A21" s="12" t="n">
        <v>1</v>
      </c>
      <c r="B21" s="12" t="inlineStr">
        <is>
          <t>Jan</t>
        </is>
      </c>
      <c r="C21" s="12" t="inlineStr">
        <is>
          <t>CHANNEL</t>
        </is>
      </c>
      <c r="D21" s="12" t="inlineStr">
        <is>
          <t>Distributor Channel</t>
        </is>
      </c>
      <c r="E21" s="12" t="inlineStr">
        <is>
          <t>OPEX</t>
        </is>
      </c>
      <c r="F21" s="12" t="inlineStr">
        <is>
          <t>Operating Expenses</t>
        </is>
      </c>
      <c r="G21" s="12" t="inlineStr">
        <is>
          <t>VEHICLE</t>
        </is>
      </c>
      <c r="H21" s="12" t="inlineStr">
        <is>
          <t>Vehicle</t>
        </is>
      </c>
      <c r="I21" s="13" t="n">
        <v>4622</v>
      </c>
    </row>
    <row r="22">
      <c r="A22" s="12" t="n">
        <v>1</v>
      </c>
      <c r="B22" s="12" t="inlineStr">
        <is>
          <t>Jan</t>
        </is>
      </c>
      <c r="C22" s="12" t="inlineStr">
        <is>
          <t>SERVICE</t>
        </is>
      </c>
      <c r="D22" s="12" t="inlineStr">
        <is>
          <t>Service and Support</t>
        </is>
      </c>
      <c r="E22" s="12" t="inlineStr">
        <is>
          <t>OPEX</t>
        </is>
      </c>
      <c r="F22" s="12" t="inlineStr">
        <is>
          <t>Operating Expenses</t>
        </is>
      </c>
      <c r="G22" s="12" t="inlineStr">
        <is>
          <t>VEHICLE</t>
        </is>
      </c>
      <c r="H22" s="12" t="inlineStr">
        <is>
          <t>Vehicle</t>
        </is>
      </c>
      <c r="I22" s="13" t="n">
        <v>2311</v>
      </c>
    </row>
    <row r="23">
      <c r="A23" s="12" t="n">
        <v>1</v>
      </c>
      <c r="B23" s="12" t="inlineStr">
        <is>
          <t>Jan</t>
        </is>
      </c>
      <c r="C23" s="12" t="inlineStr">
        <is>
          <t>SALES</t>
        </is>
      </c>
      <c r="D23" s="12" t="inlineStr">
        <is>
          <t>Direct Sales</t>
        </is>
      </c>
      <c r="E23" s="12" t="inlineStr">
        <is>
          <t>OPEX</t>
        </is>
      </c>
      <c r="F23" s="12" t="inlineStr">
        <is>
          <t>Operating Expenses</t>
        </is>
      </c>
      <c r="G23" s="12" t="inlineStr">
        <is>
          <t>MARKETING</t>
        </is>
      </c>
      <c r="H23" s="12" t="inlineStr">
        <is>
          <t>Marketing</t>
        </is>
      </c>
      <c r="I23" s="13" t="n">
        <v>13068</v>
      </c>
    </row>
    <row r="24">
      <c r="A24" s="12" t="n">
        <v>1</v>
      </c>
      <c r="B24" s="12" t="inlineStr">
        <is>
          <t>Jan</t>
        </is>
      </c>
      <c r="C24" s="12" t="inlineStr">
        <is>
          <t>CHANNEL</t>
        </is>
      </c>
      <c r="D24" s="12" t="inlineStr">
        <is>
          <t>Distributor Channel</t>
        </is>
      </c>
      <c r="E24" s="12" t="inlineStr">
        <is>
          <t>OPEX</t>
        </is>
      </c>
      <c r="F24" s="12" t="inlineStr">
        <is>
          <t>Operating Expenses</t>
        </is>
      </c>
      <c r="G24" s="12" t="inlineStr">
        <is>
          <t>MARKETING</t>
        </is>
      </c>
      <c r="H24" s="12" t="inlineStr">
        <is>
          <t>Marketing</t>
        </is>
      </c>
      <c r="I24" s="13" t="n">
        <v>7128</v>
      </c>
    </row>
    <row r="25">
      <c r="A25" s="12" t="n">
        <v>1</v>
      </c>
      <c r="B25" s="12" t="inlineStr">
        <is>
          <t>Jan</t>
        </is>
      </c>
      <c r="C25" s="12" t="inlineStr">
        <is>
          <t>SERVICE</t>
        </is>
      </c>
      <c r="D25" s="12" t="inlineStr">
        <is>
          <t>Service and Support</t>
        </is>
      </c>
      <c r="E25" s="12" t="inlineStr">
        <is>
          <t>OPEX</t>
        </is>
      </c>
      <c r="F25" s="12" t="inlineStr">
        <is>
          <t>Operating Expenses</t>
        </is>
      </c>
      <c r="G25" s="12" t="inlineStr">
        <is>
          <t>MARKETING</t>
        </is>
      </c>
      <c r="H25" s="12" t="inlineStr">
        <is>
          <t>Marketing</t>
        </is>
      </c>
      <c r="I25" s="13" t="n">
        <v>3564</v>
      </c>
    </row>
    <row r="26">
      <c r="A26" s="12" t="n">
        <v>1</v>
      </c>
      <c r="B26" s="12" t="inlineStr">
        <is>
          <t>Jan</t>
        </is>
      </c>
      <c r="C26" s="12" t="inlineStr">
        <is>
          <t>SALES</t>
        </is>
      </c>
      <c r="D26" s="12" t="inlineStr">
        <is>
          <t>Direct Sales</t>
        </is>
      </c>
      <c r="E26" s="12" t="inlineStr">
        <is>
          <t>OPEX</t>
        </is>
      </c>
      <c r="F26" s="12" t="inlineStr">
        <is>
          <t>Operating Expenses</t>
        </is>
      </c>
      <c r="G26" s="12" t="inlineStr">
        <is>
          <t>ENTERTAIN</t>
        </is>
      </c>
      <c r="H26" s="12" t="inlineStr">
        <is>
          <t>Entertainment</t>
        </is>
      </c>
      <c r="I26" s="13" t="n">
        <v>1901</v>
      </c>
    </row>
    <row r="27">
      <c r="A27" s="12" t="n">
        <v>1</v>
      </c>
      <c r="B27" s="12" t="inlineStr">
        <is>
          <t>Jan</t>
        </is>
      </c>
      <c r="C27" s="12" t="inlineStr">
        <is>
          <t>CHANNEL</t>
        </is>
      </c>
      <c r="D27" s="12" t="inlineStr">
        <is>
          <t>Distributor Channel</t>
        </is>
      </c>
      <c r="E27" s="12" t="inlineStr">
        <is>
          <t>OPEX</t>
        </is>
      </c>
      <c r="F27" s="12" t="inlineStr">
        <is>
          <t>Operating Expenses</t>
        </is>
      </c>
      <c r="G27" s="12" t="inlineStr">
        <is>
          <t>ENTERTAIN</t>
        </is>
      </c>
      <c r="H27" s="12" t="inlineStr">
        <is>
          <t>Entertainment</t>
        </is>
      </c>
      <c r="I27" s="13" t="n">
        <v>1037</v>
      </c>
    </row>
    <row r="28">
      <c r="A28" s="12" t="n">
        <v>1</v>
      </c>
      <c r="B28" s="12" t="inlineStr">
        <is>
          <t>Jan</t>
        </is>
      </c>
      <c r="C28" s="12" t="inlineStr">
        <is>
          <t>SERVICE</t>
        </is>
      </c>
      <c r="D28" s="12" t="inlineStr">
        <is>
          <t>Service and Support</t>
        </is>
      </c>
      <c r="E28" s="12" t="inlineStr">
        <is>
          <t>OPEX</t>
        </is>
      </c>
      <c r="F28" s="12" t="inlineStr">
        <is>
          <t>Operating Expenses</t>
        </is>
      </c>
      <c r="G28" s="12" t="inlineStr">
        <is>
          <t>ENTERTAIN</t>
        </is>
      </c>
      <c r="H28" s="12" t="inlineStr">
        <is>
          <t>Entertainment</t>
        </is>
      </c>
      <c r="I28" s="13" t="n">
        <v>518</v>
      </c>
    </row>
    <row r="29">
      <c r="A29" s="12" t="n">
        <v>1</v>
      </c>
      <c r="B29" s="12" t="inlineStr">
        <is>
          <t>Jan</t>
        </is>
      </c>
      <c r="C29" s="12" t="inlineStr">
        <is>
          <t>SALES</t>
        </is>
      </c>
      <c r="D29" s="12" t="inlineStr">
        <is>
          <t>Direct Sales</t>
        </is>
      </c>
      <c r="E29" s="12" t="inlineStr">
        <is>
          <t>OPEX</t>
        </is>
      </c>
      <c r="F29" s="12" t="inlineStr">
        <is>
          <t>Operating Expenses</t>
        </is>
      </c>
      <c r="G29" s="12" t="inlineStr">
        <is>
          <t>OFFICE</t>
        </is>
      </c>
      <c r="H29" s="12" t="inlineStr">
        <is>
          <t>Office</t>
        </is>
      </c>
      <c r="I29" s="13" t="n">
        <v>4990</v>
      </c>
    </row>
    <row r="30">
      <c r="A30" s="12" t="n">
        <v>1</v>
      </c>
      <c r="B30" s="12" t="inlineStr">
        <is>
          <t>Jan</t>
        </is>
      </c>
      <c r="C30" s="12" t="inlineStr">
        <is>
          <t>CHANNEL</t>
        </is>
      </c>
      <c r="D30" s="12" t="inlineStr">
        <is>
          <t>Distributor Channel</t>
        </is>
      </c>
      <c r="E30" s="12" t="inlineStr">
        <is>
          <t>OPEX</t>
        </is>
      </c>
      <c r="F30" s="12" t="inlineStr">
        <is>
          <t>Operating Expenses</t>
        </is>
      </c>
      <c r="G30" s="12" t="inlineStr">
        <is>
          <t>OFFICE</t>
        </is>
      </c>
      <c r="H30" s="12" t="inlineStr">
        <is>
          <t>Office</t>
        </is>
      </c>
      <c r="I30" s="13" t="n">
        <v>2722</v>
      </c>
    </row>
    <row r="31">
      <c r="A31" s="12" t="n">
        <v>1</v>
      </c>
      <c r="B31" s="12" t="inlineStr">
        <is>
          <t>Jan</t>
        </is>
      </c>
      <c r="C31" s="12" t="inlineStr">
        <is>
          <t>SERVICE</t>
        </is>
      </c>
      <c r="D31" s="12" t="inlineStr">
        <is>
          <t>Service and Support</t>
        </is>
      </c>
      <c r="E31" s="12" t="inlineStr">
        <is>
          <t>OPEX</t>
        </is>
      </c>
      <c r="F31" s="12" t="inlineStr">
        <is>
          <t>Operating Expenses</t>
        </is>
      </c>
      <c r="G31" s="12" t="inlineStr">
        <is>
          <t>OFFICE</t>
        </is>
      </c>
      <c r="H31" s="12" t="inlineStr">
        <is>
          <t>Office</t>
        </is>
      </c>
      <c r="I31" s="13" t="n">
        <v>1361</v>
      </c>
    </row>
    <row r="32">
      <c r="A32" s="12" t="n">
        <v>1</v>
      </c>
      <c r="B32" s="12" t="inlineStr">
        <is>
          <t>Jan</t>
        </is>
      </c>
      <c r="C32" s="12" t="inlineStr">
        <is>
          <t>SALES</t>
        </is>
      </c>
      <c r="D32" s="12" t="inlineStr">
        <is>
          <t>Direct Sales</t>
        </is>
      </c>
      <c r="E32" s="12" t="inlineStr">
        <is>
          <t>OPEX</t>
        </is>
      </c>
      <c r="F32" s="12" t="inlineStr">
        <is>
          <t>Operating Expenses</t>
        </is>
      </c>
      <c r="G32" s="12" t="inlineStr">
        <is>
          <t>MERCHANT</t>
        </is>
      </c>
      <c r="H32" s="12" t="inlineStr">
        <is>
          <t>Merchant Fees</t>
        </is>
      </c>
      <c r="I32" s="13" t="n">
        <v>6019</v>
      </c>
    </row>
    <row r="33">
      <c r="A33" s="12" t="n">
        <v>1</v>
      </c>
      <c r="B33" s="12" t="inlineStr">
        <is>
          <t>Jan</t>
        </is>
      </c>
      <c r="C33" s="12" t="inlineStr">
        <is>
          <t>CHANNEL</t>
        </is>
      </c>
      <c r="D33" s="12" t="inlineStr">
        <is>
          <t>Distributor Channel</t>
        </is>
      </c>
      <c r="E33" s="12" t="inlineStr">
        <is>
          <t>OPEX</t>
        </is>
      </c>
      <c r="F33" s="12" t="inlineStr">
        <is>
          <t>Operating Expenses</t>
        </is>
      </c>
      <c r="G33" s="12" t="inlineStr">
        <is>
          <t>MERCHANT</t>
        </is>
      </c>
      <c r="H33" s="12" t="inlineStr">
        <is>
          <t>Merchant Fees</t>
        </is>
      </c>
      <c r="I33" s="13" t="n">
        <v>3283</v>
      </c>
    </row>
    <row r="34">
      <c r="A34" s="12" t="n">
        <v>1</v>
      </c>
      <c r="B34" s="12" t="inlineStr">
        <is>
          <t>Jan</t>
        </is>
      </c>
      <c r="C34" s="12" t="inlineStr">
        <is>
          <t>SERVICE</t>
        </is>
      </c>
      <c r="D34" s="12" t="inlineStr">
        <is>
          <t>Service and Support</t>
        </is>
      </c>
      <c r="E34" s="12" t="inlineStr">
        <is>
          <t>OPEX</t>
        </is>
      </c>
      <c r="F34" s="12" t="inlineStr">
        <is>
          <t>Operating Expenses</t>
        </is>
      </c>
      <c r="G34" s="12" t="inlineStr">
        <is>
          <t>MERCHANT</t>
        </is>
      </c>
      <c r="H34" s="12" t="inlineStr">
        <is>
          <t>Merchant Fees</t>
        </is>
      </c>
      <c r="I34" s="13" t="n">
        <v>1642</v>
      </c>
    </row>
    <row r="35">
      <c r="A35" s="12" t="n">
        <v>1</v>
      </c>
      <c r="B35" s="12" t="inlineStr">
        <is>
          <t>Jan</t>
        </is>
      </c>
      <c r="C35" s="12" t="inlineStr">
        <is>
          <t>SALES</t>
        </is>
      </c>
      <c r="D35" s="12" t="inlineStr">
        <is>
          <t>Direct Sales</t>
        </is>
      </c>
      <c r="E35" s="12" t="inlineStr">
        <is>
          <t>OPEX</t>
        </is>
      </c>
      <c r="F35" s="12" t="inlineStr">
        <is>
          <t>Operating Expenses</t>
        </is>
      </c>
      <c r="G35" s="12" t="inlineStr">
        <is>
          <t>PROFSVC</t>
        </is>
      </c>
      <c r="H35" s="12" t="inlineStr">
        <is>
          <t>Professional Fees</t>
        </is>
      </c>
      <c r="I35" s="13" t="n">
        <v>4673</v>
      </c>
    </row>
    <row r="36">
      <c r="A36" s="12" t="n">
        <v>1</v>
      </c>
      <c r="B36" s="12" t="inlineStr">
        <is>
          <t>Jan</t>
        </is>
      </c>
      <c r="C36" s="12" t="inlineStr">
        <is>
          <t>CHANNEL</t>
        </is>
      </c>
      <c r="D36" s="12" t="inlineStr">
        <is>
          <t>Distributor Channel</t>
        </is>
      </c>
      <c r="E36" s="12" t="inlineStr">
        <is>
          <t>OPEX</t>
        </is>
      </c>
      <c r="F36" s="12" t="inlineStr">
        <is>
          <t>Operating Expenses</t>
        </is>
      </c>
      <c r="G36" s="12" t="inlineStr">
        <is>
          <t>PROFSVC</t>
        </is>
      </c>
      <c r="H36" s="12" t="inlineStr">
        <is>
          <t>Professional Fees</t>
        </is>
      </c>
      <c r="I36" s="13" t="n">
        <v>2549</v>
      </c>
    </row>
    <row r="37">
      <c r="A37" s="12" t="n">
        <v>1</v>
      </c>
      <c r="B37" s="12" t="inlineStr">
        <is>
          <t>Jan</t>
        </is>
      </c>
      <c r="C37" s="12" t="inlineStr">
        <is>
          <t>SERVICE</t>
        </is>
      </c>
      <c r="D37" s="12" t="inlineStr">
        <is>
          <t>Service and Support</t>
        </is>
      </c>
      <c r="E37" s="12" t="inlineStr">
        <is>
          <t>OPEX</t>
        </is>
      </c>
      <c r="F37" s="12" t="inlineStr">
        <is>
          <t>Operating Expenses</t>
        </is>
      </c>
      <c r="G37" s="12" t="inlineStr">
        <is>
          <t>PROFSVC</t>
        </is>
      </c>
      <c r="H37" s="12" t="inlineStr">
        <is>
          <t>Professional Fees</t>
        </is>
      </c>
      <c r="I37" s="13" t="n">
        <v>1274</v>
      </c>
    </row>
    <row r="38">
      <c r="A38" s="12" t="n">
        <v>1</v>
      </c>
      <c r="B38" s="12" t="inlineStr">
        <is>
          <t>Jan</t>
        </is>
      </c>
      <c r="C38" s="12" t="inlineStr">
        <is>
          <t>SALES</t>
        </is>
      </c>
      <c r="D38" s="12" t="inlineStr">
        <is>
          <t>Direct Sales</t>
        </is>
      </c>
      <c r="E38" s="12" t="inlineStr">
        <is>
          <t>OPEX</t>
        </is>
      </c>
      <c r="F38" s="12" t="inlineStr">
        <is>
          <t>Operating Expenses</t>
        </is>
      </c>
      <c r="G38" s="12" t="inlineStr">
        <is>
          <t>DEPREC</t>
        </is>
      </c>
      <c r="H38" s="12" t="inlineStr">
        <is>
          <t>Depreciation</t>
        </is>
      </c>
      <c r="I38" s="13" t="n">
        <v>4406</v>
      </c>
    </row>
    <row r="39">
      <c r="A39" s="12" t="n">
        <v>1</v>
      </c>
      <c r="B39" s="12" t="inlineStr">
        <is>
          <t>Jan</t>
        </is>
      </c>
      <c r="C39" s="12" t="inlineStr">
        <is>
          <t>CHANNEL</t>
        </is>
      </c>
      <c r="D39" s="12" t="inlineStr">
        <is>
          <t>Distributor Channel</t>
        </is>
      </c>
      <c r="E39" s="12" t="inlineStr">
        <is>
          <t>OPEX</t>
        </is>
      </c>
      <c r="F39" s="12" t="inlineStr">
        <is>
          <t>Operating Expenses</t>
        </is>
      </c>
      <c r="G39" s="12" t="inlineStr">
        <is>
          <t>DEPREC</t>
        </is>
      </c>
      <c r="H39" s="12" t="inlineStr">
        <is>
          <t>Depreciation</t>
        </is>
      </c>
      <c r="I39" s="13" t="n">
        <v>4277</v>
      </c>
    </row>
    <row r="40">
      <c r="A40" s="12" t="n">
        <v>1</v>
      </c>
      <c r="B40" s="12" t="inlineStr">
        <is>
          <t>Jan</t>
        </is>
      </c>
      <c r="C40" s="12" t="inlineStr">
        <is>
          <t>SERVICE</t>
        </is>
      </c>
      <c r="D40" s="12" t="inlineStr">
        <is>
          <t>Service and Support</t>
        </is>
      </c>
      <c r="E40" s="12" t="inlineStr">
        <is>
          <t>OPEX</t>
        </is>
      </c>
      <c r="F40" s="12" t="inlineStr">
        <is>
          <t>Operating Expenses</t>
        </is>
      </c>
      <c r="G40" s="12" t="inlineStr">
        <is>
          <t>DEPREC</t>
        </is>
      </c>
      <c r="H40" s="12" t="inlineStr">
        <is>
          <t>Depreciation</t>
        </is>
      </c>
      <c r="I40" s="13" t="n">
        <v>4277</v>
      </c>
    </row>
    <row r="41">
      <c r="A41" s="12" t="n">
        <v>1</v>
      </c>
      <c r="B41" s="12" t="inlineStr">
        <is>
          <t>Jan</t>
        </is>
      </c>
      <c r="C41" s="12" t="inlineStr">
        <is>
          <t>SALES</t>
        </is>
      </c>
      <c r="D41" s="12" t="inlineStr">
        <is>
          <t>Direct Sales</t>
        </is>
      </c>
      <c r="E41" s="12" t="inlineStr">
        <is>
          <t>OPEX</t>
        </is>
      </c>
      <c r="F41" s="12" t="inlineStr">
        <is>
          <t>Operating Expenses</t>
        </is>
      </c>
      <c r="G41" s="12" t="inlineStr">
        <is>
          <t>FINANCE</t>
        </is>
      </c>
      <c r="H41" s="12" t="inlineStr">
        <is>
          <t>Finance Costs</t>
        </is>
      </c>
      <c r="I41" s="13" t="n">
        <v>2350</v>
      </c>
    </row>
    <row r="42">
      <c r="A42" s="12" t="n">
        <v>1</v>
      </c>
      <c r="B42" s="12" t="inlineStr">
        <is>
          <t>Jan</t>
        </is>
      </c>
      <c r="C42" s="12" t="inlineStr">
        <is>
          <t>CHANNEL</t>
        </is>
      </c>
      <c r="D42" s="12" t="inlineStr">
        <is>
          <t>Distributor Channel</t>
        </is>
      </c>
      <c r="E42" s="12" t="inlineStr">
        <is>
          <t>OPEX</t>
        </is>
      </c>
      <c r="F42" s="12" t="inlineStr">
        <is>
          <t>Operating Expenses</t>
        </is>
      </c>
      <c r="G42" s="12" t="inlineStr">
        <is>
          <t>FINANCE</t>
        </is>
      </c>
      <c r="H42" s="12" t="inlineStr">
        <is>
          <t>Finance Costs</t>
        </is>
      </c>
      <c r="I42" s="13" t="n">
        <v>2281</v>
      </c>
    </row>
    <row r="43">
      <c r="A43" s="12" t="n">
        <v>1</v>
      </c>
      <c r="B43" s="12" t="inlineStr">
        <is>
          <t>Jan</t>
        </is>
      </c>
      <c r="C43" s="12" t="inlineStr">
        <is>
          <t>SERVICE</t>
        </is>
      </c>
      <c r="D43" s="12" t="inlineStr">
        <is>
          <t>Service and Support</t>
        </is>
      </c>
      <c r="E43" s="12" t="inlineStr">
        <is>
          <t>OPEX</t>
        </is>
      </c>
      <c r="F43" s="12" t="inlineStr">
        <is>
          <t>Operating Expenses</t>
        </is>
      </c>
      <c r="G43" s="12" t="inlineStr">
        <is>
          <t>FINANCE</t>
        </is>
      </c>
      <c r="H43" s="12" t="inlineStr">
        <is>
          <t>Finance Costs</t>
        </is>
      </c>
      <c r="I43" s="13" t="n">
        <v>2281</v>
      </c>
    </row>
    <row r="44">
      <c r="A44" s="12" t="n">
        <v>2</v>
      </c>
      <c r="B44" s="12" t="inlineStr">
        <is>
          <t>Feb</t>
        </is>
      </c>
      <c r="C44" s="12" t="inlineStr">
        <is>
          <t>SALES</t>
        </is>
      </c>
      <c r="D44" s="12" t="inlineStr">
        <is>
          <t>Direct Sales</t>
        </is>
      </c>
      <c r="E44" s="12" t="inlineStr">
        <is>
          <t>REVENUE</t>
        </is>
      </c>
      <c r="F44" s="12" t="inlineStr">
        <is>
          <t>Revenue</t>
        </is>
      </c>
      <c r="G44" s="12" t="inlineStr">
        <is>
          <t>REVENUE_PROD</t>
        </is>
      </c>
      <c r="H44" s="12" t="inlineStr">
        <is>
          <t>Product Revenue</t>
        </is>
      </c>
      <c r="I44" s="13" t="n">
        <v>477400</v>
      </c>
    </row>
    <row r="45">
      <c r="A45" s="12" t="n">
        <v>2</v>
      </c>
      <c r="B45" s="12" t="inlineStr">
        <is>
          <t>Feb</t>
        </is>
      </c>
      <c r="C45" s="12" t="inlineStr">
        <is>
          <t>CHANNEL</t>
        </is>
      </c>
      <c r="D45" s="12" t="inlineStr">
        <is>
          <t>Distributor Channel</t>
        </is>
      </c>
      <c r="E45" s="12" t="inlineStr">
        <is>
          <t>REVENUE</t>
        </is>
      </c>
      <c r="F45" s="12" t="inlineStr">
        <is>
          <t>Revenue</t>
        </is>
      </c>
      <c r="G45" s="12" t="inlineStr">
        <is>
          <t>REVENUE_PROD</t>
        </is>
      </c>
      <c r="H45" s="12" t="inlineStr">
        <is>
          <t>Product Revenue</t>
        </is>
      </c>
      <c r="I45" s="13" t="n">
        <v>260400</v>
      </c>
    </row>
    <row r="46">
      <c r="A46" s="12" t="n">
        <v>2</v>
      </c>
      <c r="B46" s="12" t="inlineStr">
        <is>
          <t>Feb</t>
        </is>
      </c>
      <c r="C46" s="12" t="inlineStr">
        <is>
          <t>SERVICE</t>
        </is>
      </c>
      <c r="D46" s="12" t="inlineStr">
        <is>
          <t>Service and Support</t>
        </is>
      </c>
      <c r="E46" s="12" t="inlineStr">
        <is>
          <t>REVENUE</t>
        </is>
      </c>
      <c r="F46" s="12" t="inlineStr">
        <is>
          <t>Revenue</t>
        </is>
      </c>
      <c r="G46" s="12" t="inlineStr">
        <is>
          <t>REVENUE_PROD</t>
        </is>
      </c>
      <c r="H46" s="12" t="inlineStr">
        <is>
          <t>Product Revenue</t>
        </is>
      </c>
      <c r="I46" s="13" t="n">
        <v>130200</v>
      </c>
    </row>
    <row r="47">
      <c r="A47" s="12" t="n">
        <v>2</v>
      </c>
      <c r="B47" s="12" t="inlineStr">
        <is>
          <t>Feb</t>
        </is>
      </c>
      <c r="C47" s="12" t="inlineStr">
        <is>
          <t>SALES</t>
        </is>
      </c>
      <c r="D47" s="12" t="inlineStr">
        <is>
          <t>Direct Sales</t>
        </is>
      </c>
      <c r="E47" s="12" t="inlineStr">
        <is>
          <t>REVENUE</t>
        </is>
      </c>
      <c r="F47" s="12" t="inlineStr">
        <is>
          <t>Revenue</t>
        </is>
      </c>
      <c r="G47" s="12" t="inlineStr">
        <is>
          <t>REVENUE_SVC</t>
        </is>
      </c>
      <c r="H47" s="12" t="inlineStr">
        <is>
          <t>Service Revenue</t>
        </is>
      </c>
      <c r="I47" s="13" t="n">
        <v>4025</v>
      </c>
    </row>
    <row r="48">
      <c r="A48" s="12" t="n">
        <v>2</v>
      </c>
      <c r="B48" s="12" t="inlineStr">
        <is>
          <t>Feb</t>
        </is>
      </c>
      <c r="C48" s="12" t="inlineStr">
        <is>
          <t>CHANNEL</t>
        </is>
      </c>
      <c r="D48" s="12" t="inlineStr">
        <is>
          <t>Distributor Channel</t>
        </is>
      </c>
      <c r="E48" s="12" t="inlineStr">
        <is>
          <t>REVENUE</t>
        </is>
      </c>
      <c r="F48" s="12" t="inlineStr">
        <is>
          <t>Revenue</t>
        </is>
      </c>
      <c r="G48" s="12" t="inlineStr">
        <is>
          <t>REVENUE_SVC</t>
        </is>
      </c>
      <c r="H48" s="12" t="inlineStr">
        <is>
          <t>Service Revenue</t>
        </is>
      </c>
      <c r="I48" s="13" t="n">
        <v>4025</v>
      </c>
    </row>
    <row r="49">
      <c r="A49" s="12" t="n">
        <v>2</v>
      </c>
      <c r="B49" s="12" t="inlineStr">
        <is>
          <t>Feb</t>
        </is>
      </c>
      <c r="C49" s="12" t="inlineStr">
        <is>
          <t>SERVICE</t>
        </is>
      </c>
      <c r="D49" s="12" t="inlineStr">
        <is>
          <t>Service and Support</t>
        </is>
      </c>
      <c r="E49" s="12" t="inlineStr">
        <is>
          <t>REVENUE</t>
        </is>
      </c>
      <c r="F49" s="12" t="inlineStr">
        <is>
          <t>Revenue</t>
        </is>
      </c>
      <c r="G49" s="12" t="inlineStr">
        <is>
          <t>REVENUE_SVC</t>
        </is>
      </c>
      <c r="H49" s="12" t="inlineStr">
        <is>
          <t>Service Revenue</t>
        </is>
      </c>
      <c r="I49" s="13" t="n">
        <v>72450</v>
      </c>
    </row>
    <row r="50">
      <c r="A50" s="12" t="n">
        <v>2</v>
      </c>
      <c r="B50" s="12" t="inlineStr">
        <is>
          <t>Feb</t>
        </is>
      </c>
      <c r="C50" s="12" t="inlineStr">
        <is>
          <t>SALES</t>
        </is>
      </c>
      <c r="D50" s="12" t="inlineStr">
        <is>
          <t>Direct Sales</t>
        </is>
      </c>
      <c r="E50" s="12" t="inlineStr">
        <is>
          <t>COGS</t>
        </is>
      </c>
      <c r="F50" s="12" t="inlineStr">
        <is>
          <t>Cost of Sales</t>
        </is>
      </c>
      <c r="G50" s="12" t="inlineStr">
        <is>
          <t>COGS</t>
        </is>
      </c>
      <c r="H50" s="12" t="inlineStr">
        <is>
          <t>Cost of Goods Sold</t>
        </is>
      </c>
      <c r="I50" s="13" t="n">
        <v>310310</v>
      </c>
    </row>
    <row r="51">
      <c r="A51" s="12" t="n">
        <v>2</v>
      </c>
      <c r="B51" s="12" t="inlineStr">
        <is>
          <t>Feb</t>
        </is>
      </c>
      <c r="C51" s="12" t="inlineStr">
        <is>
          <t>CHANNEL</t>
        </is>
      </c>
      <c r="D51" s="12" t="inlineStr">
        <is>
          <t>Distributor Channel</t>
        </is>
      </c>
      <c r="E51" s="12" t="inlineStr">
        <is>
          <t>COGS</t>
        </is>
      </c>
      <c r="F51" s="12" t="inlineStr">
        <is>
          <t>Cost of Sales</t>
        </is>
      </c>
      <c r="G51" s="12" t="inlineStr">
        <is>
          <t>COGS</t>
        </is>
      </c>
      <c r="H51" s="12" t="inlineStr">
        <is>
          <t>Cost of Goods Sold</t>
        </is>
      </c>
      <c r="I51" s="13" t="n">
        <v>169260</v>
      </c>
    </row>
    <row r="52">
      <c r="A52" s="12" t="n">
        <v>2</v>
      </c>
      <c r="B52" s="12" t="inlineStr">
        <is>
          <t>Feb</t>
        </is>
      </c>
      <c r="C52" s="12" t="inlineStr">
        <is>
          <t>SERVICE</t>
        </is>
      </c>
      <c r="D52" s="12" t="inlineStr">
        <is>
          <t>Service and Support</t>
        </is>
      </c>
      <c r="E52" s="12" t="inlineStr">
        <is>
          <t>COGS</t>
        </is>
      </c>
      <c r="F52" s="12" t="inlineStr">
        <is>
          <t>Cost of Sales</t>
        </is>
      </c>
      <c r="G52" s="12" t="inlineStr">
        <is>
          <t>COGS</t>
        </is>
      </c>
      <c r="H52" s="12" t="inlineStr">
        <is>
          <t>Cost of Goods Sold</t>
        </is>
      </c>
      <c r="I52" s="13" t="n">
        <v>84630</v>
      </c>
    </row>
    <row r="53">
      <c r="A53" s="12" t="n">
        <v>2</v>
      </c>
      <c r="B53" s="12" t="inlineStr">
        <is>
          <t>Feb</t>
        </is>
      </c>
      <c r="C53" s="12" t="inlineStr">
        <is>
          <t>SALES</t>
        </is>
      </c>
      <c r="D53" s="12" t="inlineStr">
        <is>
          <t>Direct Sales</t>
        </is>
      </c>
      <c r="E53" s="12" t="inlineStr">
        <is>
          <t>OPEX</t>
        </is>
      </c>
      <c r="F53" s="12" t="inlineStr">
        <is>
          <t>Operating Expenses</t>
        </is>
      </c>
      <c r="G53" s="12" t="inlineStr">
        <is>
          <t>SALARY</t>
        </is>
      </c>
      <c r="H53" s="12" t="inlineStr">
        <is>
          <t>Payroll</t>
        </is>
      </c>
      <c r="I53" s="13" t="n">
        <v>78925</v>
      </c>
    </row>
    <row r="54">
      <c r="A54" s="12" t="n">
        <v>2</v>
      </c>
      <c r="B54" s="12" t="inlineStr">
        <is>
          <t>Feb</t>
        </is>
      </c>
      <c r="C54" s="12" t="inlineStr">
        <is>
          <t>CHANNEL</t>
        </is>
      </c>
      <c r="D54" s="12" t="inlineStr">
        <is>
          <t>Distributor Channel</t>
        </is>
      </c>
      <c r="E54" s="12" t="inlineStr">
        <is>
          <t>OPEX</t>
        </is>
      </c>
      <c r="F54" s="12" t="inlineStr">
        <is>
          <t>Operating Expenses</t>
        </is>
      </c>
      <c r="G54" s="12" t="inlineStr">
        <is>
          <t>SALARY</t>
        </is>
      </c>
      <c r="H54" s="12" t="inlineStr">
        <is>
          <t>Payroll</t>
        </is>
      </c>
      <c r="I54" s="13" t="n">
        <v>43050</v>
      </c>
    </row>
    <row r="55">
      <c r="A55" s="12" t="n">
        <v>2</v>
      </c>
      <c r="B55" s="12" t="inlineStr">
        <is>
          <t>Feb</t>
        </is>
      </c>
      <c r="C55" s="12" t="inlineStr">
        <is>
          <t>SERVICE</t>
        </is>
      </c>
      <c r="D55" s="12" t="inlineStr">
        <is>
          <t>Service and Support</t>
        </is>
      </c>
      <c r="E55" s="12" t="inlineStr">
        <is>
          <t>OPEX</t>
        </is>
      </c>
      <c r="F55" s="12" t="inlineStr">
        <is>
          <t>Operating Expenses</t>
        </is>
      </c>
      <c r="G55" s="12" t="inlineStr">
        <is>
          <t>SALARY</t>
        </is>
      </c>
      <c r="H55" s="12" t="inlineStr">
        <is>
          <t>Payroll</t>
        </is>
      </c>
      <c r="I55" s="13" t="n">
        <v>21525</v>
      </c>
    </row>
    <row r="56">
      <c r="A56" s="12" t="n">
        <v>2</v>
      </c>
      <c r="B56" s="12" t="inlineStr">
        <is>
          <t>Feb</t>
        </is>
      </c>
      <c r="C56" s="12" t="inlineStr">
        <is>
          <t>SALES</t>
        </is>
      </c>
      <c r="D56" s="12" t="inlineStr">
        <is>
          <t>Direct Sales</t>
        </is>
      </c>
      <c r="E56" s="12" t="inlineStr">
        <is>
          <t>OPEX</t>
        </is>
      </c>
      <c r="F56" s="12" t="inlineStr">
        <is>
          <t>Operating Expenses</t>
        </is>
      </c>
      <c r="G56" s="12" t="inlineStr">
        <is>
          <t>RENT</t>
        </is>
      </c>
      <c r="H56" s="12" t="inlineStr">
        <is>
          <t>Rent and Facilities</t>
        </is>
      </c>
      <c r="I56" s="13" t="n">
        <v>9425</v>
      </c>
    </row>
    <row r="57">
      <c r="A57" s="12" t="n">
        <v>2</v>
      </c>
      <c r="B57" s="12" t="inlineStr">
        <is>
          <t>Feb</t>
        </is>
      </c>
      <c r="C57" s="12" t="inlineStr">
        <is>
          <t>CHANNEL</t>
        </is>
      </c>
      <c r="D57" s="12" t="inlineStr">
        <is>
          <t>Distributor Channel</t>
        </is>
      </c>
      <c r="E57" s="12" t="inlineStr">
        <is>
          <t>OPEX</t>
        </is>
      </c>
      <c r="F57" s="12" t="inlineStr">
        <is>
          <t>Operating Expenses</t>
        </is>
      </c>
      <c r="G57" s="12" t="inlineStr">
        <is>
          <t>RENT</t>
        </is>
      </c>
      <c r="H57" s="12" t="inlineStr">
        <is>
          <t>Rent and Facilities</t>
        </is>
      </c>
      <c r="I57" s="13" t="n">
        <v>9148</v>
      </c>
    </row>
    <row r="58">
      <c r="A58" s="12" t="n">
        <v>2</v>
      </c>
      <c r="B58" s="12" t="inlineStr">
        <is>
          <t>Feb</t>
        </is>
      </c>
      <c r="C58" s="12" t="inlineStr">
        <is>
          <t>SERVICE</t>
        </is>
      </c>
      <c r="D58" s="12" t="inlineStr">
        <is>
          <t>Service and Support</t>
        </is>
      </c>
      <c r="E58" s="12" t="inlineStr">
        <is>
          <t>OPEX</t>
        </is>
      </c>
      <c r="F58" s="12" t="inlineStr">
        <is>
          <t>Operating Expenses</t>
        </is>
      </c>
      <c r="G58" s="12" t="inlineStr">
        <is>
          <t>RENT</t>
        </is>
      </c>
      <c r="H58" s="12" t="inlineStr">
        <is>
          <t>Rent and Facilities</t>
        </is>
      </c>
      <c r="I58" s="13" t="n">
        <v>9148</v>
      </c>
    </row>
    <row r="59">
      <c r="A59" s="12" t="n">
        <v>2</v>
      </c>
      <c r="B59" s="12" t="inlineStr">
        <is>
          <t>Feb</t>
        </is>
      </c>
      <c r="C59" s="12" t="inlineStr">
        <is>
          <t>SALES</t>
        </is>
      </c>
      <c r="D59" s="12" t="inlineStr">
        <is>
          <t>Direct Sales</t>
        </is>
      </c>
      <c r="E59" s="12" t="inlineStr">
        <is>
          <t>OPEX</t>
        </is>
      </c>
      <c r="F59" s="12" t="inlineStr">
        <is>
          <t>Operating Expenses</t>
        </is>
      </c>
      <c r="G59" s="12" t="inlineStr">
        <is>
          <t>VEHICLE</t>
        </is>
      </c>
      <c r="H59" s="12" t="inlineStr">
        <is>
          <t>Vehicle</t>
        </is>
      </c>
      <c r="I59" s="13" t="n">
        <v>8239</v>
      </c>
    </row>
    <row r="60">
      <c r="A60" s="12" t="n">
        <v>2</v>
      </c>
      <c r="B60" s="12" t="inlineStr">
        <is>
          <t>Feb</t>
        </is>
      </c>
      <c r="C60" s="12" t="inlineStr">
        <is>
          <t>CHANNEL</t>
        </is>
      </c>
      <c r="D60" s="12" t="inlineStr">
        <is>
          <t>Distributor Channel</t>
        </is>
      </c>
      <c r="E60" s="12" t="inlineStr">
        <is>
          <t>OPEX</t>
        </is>
      </c>
      <c r="F60" s="12" t="inlineStr">
        <is>
          <t>Operating Expenses</t>
        </is>
      </c>
      <c r="G60" s="12" t="inlineStr">
        <is>
          <t>VEHICLE</t>
        </is>
      </c>
      <c r="H60" s="12" t="inlineStr">
        <is>
          <t>Vehicle</t>
        </is>
      </c>
      <c r="I60" s="13" t="n">
        <v>4494</v>
      </c>
    </row>
    <row r="61">
      <c r="A61" s="12" t="n">
        <v>2</v>
      </c>
      <c r="B61" s="12" t="inlineStr">
        <is>
          <t>Feb</t>
        </is>
      </c>
      <c r="C61" s="12" t="inlineStr">
        <is>
          <t>SERVICE</t>
        </is>
      </c>
      <c r="D61" s="12" t="inlineStr">
        <is>
          <t>Service and Support</t>
        </is>
      </c>
      <c r="E61" s="12" t="inlineStr">
        <is>
          <t>OPEX</t>
        </is>
      </c>
      <c r="F61" s="12" t="inlineStr">
        <is>
          <t>Operating Expenses</t>
        </is>
      </c>
      <c r="G61" s="12" t="inlineStr">
        <is>
          <t>VEHICLE</t>
        </is>
      </c>
      <c r="H61" s="12" t="inlineStr">
        <is>
          <t>Vehicle</t>
        </is>
      </c>
      <c r="I61" s="13" t="n">
        <v>2247</v>
      </c>
    </row>
    <row r="62">
      <c r="A62" s="12" t="n">
        <v>2</v>
      </c>
      <c r="B62" s="12" t="inlineStr">
        <is>
          <t>Feb</t>
        </is>
      </c>
      <c r="C62" s="12" t="inlineStr">
        <is>
          <t>SALES</t>
        </is>
      </c>
      <c r="D62" s="12" t="inlineStr">
        <is>
          <t>Direct Sales</t>
        </is>
      </c>
      <c r="E62" s="12" t="inlineStr">
        <is>
          <t>OPEX</t>
        </is>
      </c>
      <c r="F62" s="12" t="inlineStr">
        <is>
          <t>Operating Expenses</t>
        </is>
      </c>
      <c r="G62" s="12" t="inlineStr">
        <is>
          <t>MARKETING</t>
        </is>
      </c>
      <c r="H62" s="12" t="inlineStr">
        <is>
          <t>Marketing</t>
        </is>
      </c>
      <c r="I62" s="13" t="n">
        <v>12705</v>
      </c>
    </row>
    <row r="63">
      <c r="A63" s="12" t="n">
        <v>2</v>
      </c>
      <c r="B63" s="12" t="inlineStr">
        <is>
          <t>Feb</t>
        </is>
      </c>
      <c r="C63" s="12" t="inlineStr">
        <is>
          <t>CHANNEL</t>
        </is>
      </c>
      <c r="D63" s="12" t="inlineStr">
        <is>
          <t>Distributor Channel</t>
        </is>
      </c>
      <c r="E63" s="12" t="inlineStr">
        <is>
          <t>OPEX</t>
        </is>
      </c>
      <c r="F63" s="12" t="inlineStr">
        <is>
          <t>Operating Expenses</t>
        </is>
      </c>
      <c r="G63" s="12" t="inlineStr">
        <is>
          <t>MARKETING</t>
        </is>
      </c>
      <c r="H63" s="12" t="inlineStr">
        <is>
          <t>Marketing</t>
        </is>
      </c>
      <c r="I63" s="13" t="n">
        <v>6930</v>
      </c>
    </row>
    <row r="64">
      <c r="A64" s="12" t="n">
        <v>2</v>
      </c>
      <c r="B64" s="12" t="inlineStr">
        <is>
          <t>Feb</t>
        </is>
      </c>
      <c r="C64" s="12" t="inlineStr">
        <is>
          <t>SERVICE</t>
        </is>
      </c>
      <c r="D64" s="12" t="inlineStr">
        <is>
          <t>Service and Support</t>
        </is>
      </c>
      <c r="E64" s="12" t="inlineStr">
        <is>
          <t>OPEX</t>
        </is>
      </c>
      <c r="F64" s="12" t="inlineStr">
        <is>
          <t>Operating Expenses</t>
        </is>
      </c>
      <c r="G64" s="12" t="inlineStr">
        <is>
          <t>MARKETING</t>
        </is>
      </c>
      <c r="H64" s="12" t="inlineStr">
        <is>
          <t>Marketing</t>
        </is>
      </c>
      <c r="I64" s="13" t="n">
        <v>3465</v>
      </c>
    </row>
    <row r="65">
      <c r="A65" s="12" t="n">
        <v>2</v>
      </c>
      <c r="B65" s="12" t="inlineStr">
        <is>
          <t>Feb</t>
        </is>
      </c>
      <c r="C65" s="12" t="inlineStr">
        <is>
          <t>SALES</t>
        </is>
      </c>
      <c r="D65" s="12" t="inlineStr">
        <is>
          <t>Direct Sales</t>
        </is>
      </c>
      <c r="E65" s="12" t="inlineStr">
        <is>
          <t>OPEX</t>
        </is>
      </c>
      <c r="F65" s="12" t="inlineStr">
        <is>
          <t>Operating Expenses</t>
        </is>
      </c>
      <c r="G65" s="12" t="inlineStr">
        <is>
          <t>ENTERTAIN</t>
        </is>
      </c>
      <c r="H65" s="12" t="inlineStr">
        <is>
          <t>Entertainment</t>
        </is>
      </c>
      <c r="I65" s="13" t="n">
        <v>1848</v>
      </c>
    </row>
    <row r="66">
      <c r="A66" s="12" t="n">
        <v>2</v>
      </c>
      <c r="B66" s="12" t="inlineStr">
        <is>
          <t>Feb</t>
        </is>
      </c>
      <c r="C66" s="12" t="inlineStr">
        <is>
          <t>CHANNEL</t>
        </is>
      </c>
      <c r="D66" s="12" t="inlineStr">
        <is>
          <t>Distributor Channel</t>
        </is>
      </c>
      <c r="E66" s="12" t="inlineStr">
        <is>
          <t>OPEX</t>
        </is>
      </c>
      <c r="F66" s="12" t="inlineStr">
        <is>
          <t>Operating Expenses</t>
        </is>
      </c>
      <c r="G66" s="12" t="inlineStr">
        <is>
          <t>ENTERTAIN</t>
        </is>
      </c>
      <c r="H66" s="12" t="inlineStr">
        <is>
          <t>Entertainment</t>
        </is>
      </c>
      <c r="I66" s="13" t="n">
        <v>1008</v>
      </c>
    </row>
    <row r="67">
      <c r="A67" s="12" t="n">
        <v>2</v>
      </c>
      <c r="B67" s="12" t="inlineStr">
        <is>
          <t>Feb</t>
        </is>
      </c>
      <c r="C67" s="12" t="inlineStr">
        <is>
          <t>SERVICE</t>
        </is>
      </c>
      <c r="D67" s="12" t="inlineStr">
        <is>
          <t>Service and Support</t>
        </is>
      </c>
      <c r="E67" s="12" t="inlineStr">
        <is>
          <t>OPEX</t>
        </is>
      </c>
      <c r="F67" s="12" t="inlineStr">
        <is>
          <t>Operating Expenses</t>
        </is>
      </c>
      <c r="G67" s="12" t="inlineStr">
        <is>
          <t>ENTERTAIN</t>
        </is>
      </c>
      <c r="H67" s="12" t="inlineStr">
        <is>
          <t>Entertainment</t>
        </is>
      </c>
      <c r="I67" s="13" t="n">
        <v>504</v>
      </c>
    </row>
    <row r="68">
      <c r="A68" s="12" t="n">
        <v>2</v>
      </c>
      <c r="B68" s="12" t="inlineStr">
        <is>
          <t>Feb</t>
        </is>
      </c>
      <c r="C68" s="12" t="inlineStr">
        <is>
          <t>SALES</t>
        </is>
      </c>
      <c r="D68" s="12" t="inlineStr">
        <is>
          <t>Direct Sales</t>
        </is>
      </c>
      <c r="E68" s="12" t="inlineStr">
        <is>
          <t>OPEX</t>
        </is>
      </c>
      <c r="F68" s="12" t="inlineStr">
        <is>
          <t>Operating Expenses</t>
        </is>
      </c>
      <c r="G68" s="12" t="inlineStr">
        <is>
          <t>OFFICE</t>
        </is>
      </c>
      <c r="H68" s="12" t="inlineStr">
        <is>
          <t>Office</t>
        </is>
      </c>
      <c r="I68" s="13" t="n">
        <v>4851</v>
      </c>
    </row>
    <row r="69">
      <c r="A69" s="12" t="n">
        <v>2</v>
      </c>
      <c r="B69" s="12" t="inlineStr">
        <is>
          <t>Feb</t>
        </is>
      </c>
      <c r="C69" s="12" t="inlineStr">
        <is>
          <t>CHANNEL</t>
        </is>
      </c>
      <c r="D69" s="12" t="inlineStr">
        <is>
          <t>Distributor Channel</t>
        </is>
      </c>
      <c r="E69" s="12" t="inlineStr">
        <is>
          <t>OPEX</t>
        </is>
      </c>
      <c r="F69" s="12" t="inlineStr">
        <is>
          <t>Operating Expenses</t>
        </is>
      </c>
      <c r="G69" s="12" t="inlineStr">
        <is>
          <t>OFFICE</t>
        </is>
      </c>
      <c r="H69" s="12" t="inlineStr">
        <is>
          <t>Office</t>
        </is>
      </c>
      <c r="I69" s="13" t="n">
        <v>2646</v>
      </c>
    </row>
    <row r="70">
      <c r="A70" s="12" t="n">
        <v>2</v>
      </c>
      <c r="B70" s="12" t="inlineStr">
        <is>
          <t>Feb</t>
        </is>
      </c>
      <c r="C70" s="12" t="inlineStr">
        <is>
          <t>SERVICE</t>
        </is>
      </c>
      <c r="D70" s="12" t="inlineStr">
        <is>
          <t>Service and Support</t>
        </is>
      </c>
      <c r="E70" s="12" t="inlineStr">
        <is>
          <t>OPEX</t>
        </is>
      </c>
      <c r="F70" s="12" t="inlineStr">
        <is>
          <t>Operating Expenses</t>
        </is>
      </c>
      <c r="G70" s="12" t="inlineStr">
        <is>
          <t>OFFICE</t>
        </is>
      </c>
      <c r="H70" s="12" t="inlineStr">
        <is>
          <t>Office</t>
        </is>
      </c>
      <c r="I70" s="13" t="n">
        <v>1323</v>
      </c>
    </row>
    <row r="71">
      <c r="A71" s="12" t="n">
        <v>2</v>
      </c>
      <c r="B71" s="12" t="inlineStr">
        <is>
          <t>Feb</t>
        </is>
      </c>
      <c r="C71" s="12" t="inlineStr">
        <is>
          <t>SALES</t>
        </is>
      </c>
      <c r="D71" s="12" t="inlineStr">
        <is>
          <t>Direct Sales</t>
        </is>
      </c>
      <c r="E71" s="12" t="inlineStr">
        <is>
          <t>OPEX</t>
        </is>
      </c>
      <c r="F71" s="12" t="inlineStr">
        <is>
          <t>Operating Expenses</t>
        </is>
      </c>
      <c r="G71" s="12" t="inlineStr">
        <is>
          <t>MERCHANT</t>
        </is>
      </c>
      <c r="H71" s="12" t="inlineStr">
        <is>
          <t>Merchant Fees</t>
        </is>
      </c>
      <c r="I71" s="13" t="n">
        <v>5852</v>
      </c>
    </row>
    <row r="72">
      <c r="A72" s="12" t="n">
        <v>2</v>
      </c>
      <c r="B72" s="12" t="inlineStr">
        <is>
          <t>Feb</t>
        </is>
      </c>
      <c r="C72" s="12" t="inlineStr">
        <is>
          <t>CHANNEL</t>
        </is>
      </c>
      <c r="D72" s="12" t="inlineStr">
        <is>
          <t>Distributor Channel</t>
        </is>
      </c>
      <c r="E72" s="12" t="inlineStr">
        <is>
          <t>OPEX</t>
        </is>
      </c>
      <c r="F72" s="12" t="inlineStr">
        <is>
          <t>Operating Expenses</t>
        </is>
      </c>
      <c r="G72" s="12" t="inlineStr">
        <is>
          <t>MERCHANT</t>
        </is>
      </c>
      <c r="H72" s="12" t="inlineStr">
        <is>
          <t>Merchant Fees</t>
        </is>
      </c>
      <c r="I72" s="13" t="n">
        <v>3192</v>
      </c>
    </row>
    <row r="73">
      <c r="A73" s="12" t="n">
        <v>2</v>
      </c>
      <c r="B73" s="12" t="inlineStr">
        <is>
          <t>Feb</t>
        </is>
      </c>
      <c r="C73" s="12" t="inlineStr">
        <is>
          <t>SERVICE</t>
        </is>
      </c>
      <c r="D73" s="12" t="inlineStr">
        <is>
          <t>Service and Support</t>
        </is>
      </c>
      <c r="E73" s="12" t="inlineStr">
        <is>
          <t>OPEX</t>
        </is>
      </c>
      <c r="F73" s="12" t="inlineStr">
        <is>
          <t>Operating Expenses</t>
        </is>
      </c>
      <c r="G73" s="12" t="inlineStr">
        <is>
          <t>MERCHANT</t>
        </is>
      </c>
      <c r="H73" s="12" t="inlineStr">
        <is>
          <t>Merchant Fees</t>
        </is>
      </c>
      <c r="I73" s="13" t="n">
        <v>1596</v>
      </c>
    </row>
    <row r="74">
      <c r="A74" s="12" t="n">
        <v>2</v>
      </c>
      <c r="B74" s="12" t="inlineStr">
        <is>
          <t>Feb</t>
        </is>
      </c>
      <c r="C74" s="12" t="inlineStr">
        <is>
          <t>SALES</t>
        </is>
      </c>
      <c r="D74" s="12" t="inlineStr">
        <is>
          <t>Direct Sales</t>
        </is>
      </c>
      <c r="E74" s="12" t="inlineStr">
        <is>
          <t>OPEX</t>
        </is>
      </c>
      <c r="F74" s="12" t="inlineStr">
        <is>
          <t>Operating Expenses</t>
        </is>
      </c>
      <c r="G74" s="12" t="inlineStr">
        <is>
          <t>PROFSVC</t>
        </is>
      </c>
      <c r="H74" s="12" t="inlineStr">
        <is>
          <t>Professional Fees</t>
        </is>
      </c>
      <c r="I74" s="13" t="n">
        <v>4543</v>
      </c>
    </row>
    <row r="75">
      <c r="A75" s="12" t="n">
        <v>2</v>
      </c>
      <c r="B75" s="12" t="inlineStr">
        <is>
          <t>Feb</t>
        </is>
      </c>
      <c r="C75" s="12" t="inlineStr">
        <is>
          <t>CHANNEL</t>
        </is>
      </c>
      <c r="D75" s="12" t="inlineStr">
        <is>
          <t>Distributor Channel</t>
        </is>
      </c>
      <c r="E75" s="12" t="inlineStr">
        <is>
          <t>OPEX</t>
        </is>
      </c>
      <c r="F75" s="12" t="inlineStr">
        <is>
          <t>Operating Expenses</t>
        </is>
      </c>
      <c r="G75" s="12" t="inlineStr">
        <is>
          <t>PROFSVC</t>
        </is>
      </c>
      <c r="H75" s="12" t="inlineStr">
        <is>
          <t>Professional Fees</t>
        </is>
      </c>
      <c r="I75" s="13" t="n">
        <v>2478</v>
      </c>
    </row>
    <row r="76">
      <c r="A76" s="12" t="n">
        <v>2</v>
      </c>
      <c r="B76" s="12" t="inlineStr">
        <is>
          <t>Feb</t>
        </is>
      </c>
      <c r="C76" s="12" t="inlineStr">
        <is>
          <t>SERVICE</t>
        </is>
      </c>
      <c r="D76" s="12" t="inlineStr">
        <is>
          <t>Service and Support</t>
        </is>
      </c>
      <c r="E76" s="12" t="inlineStr">
        <is>
          <t>OPEX</t>
        </is>
      </c>
      <c r="F76" s="12" t="inlineStr">
        <is>
          <t>Operating Expenses</t>
        </is>
      </c>
      <c r="G76" s="12" t="inlineStr">
        <is>
          <t>PROFSVC</t>
        </is>
      </c>
      <c r="H76" s="12" t="inlineStr">
        <is>
          <t>Professional Fees</t>
        </is>
      </c>
      <c r="I76" s="13" t="n">
        <v>1239</v>
      </c>
    </row>
    <row r="77">
      <c r="A77" s="12" t="n">
        <v>2</v>
      </c>
      <c r="B77" s="12" t="inlineStr">
        <is>
          <t>Feb</t>
        </is>
      </c>
      <c r="C77" s="12" t="inlineStr">
        <is>
          <t>SALES</t>
        </is>
      </c>
      <c r="D77" s="12" t="inlineStr">
        <is>
          <t>Direct Sales</t>
        </is>
      </c>
      <c r="E77" s="12" t="inlineStr">
        <is>
          <t>OPEX</t>
        </is>
      </c>
      <c r="F77" s="12" t="inlineStr">
        <is>
          <t>Operating Expenses</t>
        </is>
      </c>
      <c r="G77" s="12" t="inlineStr">
        <is>
          <t>DEPREC</t>
        </is>
      </c>
      <c r="H77" s="12" t="inlineStr">
        <is>
          <t>Depreciation</t>
        </is>
      </c>
      <c r="I77" s="13" t="n">
        <v>4284</v>
      </c>
    </row>
    <row r="78">
      <c r="A78" s="12" t="n">
        <v>2</v>
      </c>
      <c r="B78" s="12" t="inlineStr">
        <is>
          <t>Feb</t>
        </is>
      </c>
      <c r="C78" s="12" t="inlineStr">
        <is>
          <t>CHANNEL</t>
        </is>
      </c>
      <c r="D78" s="12" t="inlineStr">
        <is>
          <t>Distributor Channel</t>
        </is>
      </c>
      <c r="E78" s="12" t="inlineStr">
        <is>
          <t>OPEX</t>
        </is>
      </c>
      <c r="F78" s="12" t="inlineStr">
        <is>
          <t>Operating Expenses</t>
        </is>
      </c>
      <c r="G78" s="12" t="inlineStr">
        <is>
          <t>DEPREC</t>
        </is>
      </c>
      <c r="H78" s="12" t="inlineStr">
        <is>
          <t>Depreciation</t>
        </is>
      </c>
      <c r="I78" s="13" t="n">
        <v>4158</v>
      </c>
    </row>
    <row r="79">
      <c r="A79" s="12" t="n">
        <v>2</v>
      </c>
      <c r="B79" s="12" t="inlineStr">
        <is>
          <t>Feb</t>
        </is>
      </c>
      <c r="C79" s="12" t="inlineStr">
        <is>
          <t>SERVICE</t>
        </is>
      </c>
      <c r="D79" s="12" t="inlineStr">
        <is>
          <t>Service and Support</t>
        </is>
      </c>
      <c r="E79" s="12" t="inlineStr">
        <is>
          <t>OPEX</t>
        </is>
      </c>
      <c r="F79" s="12" t="inlineStr">
        <is>
          <t>Operating Expenses</t>
        </is>
      </c>
      <c r="G79" s="12" t="inlineStr">
        <is>
          <t>DEPREC</t>
        </is>
      </c>
      <c r="H79" s="12" t="inlineStr">
        <is>
          <t>Depreciation</t>
        </is>
      </c>
      <c r="I79" s="13" t="n">
        <v>4158</v>
      </c>
    </row>
    <row r="80">
      <c r="A80" s="12" t="n">
        <v>2</v>
      </c>
      <c r="B80" s="12" t="inlineStr">
        <is>
          <t>Feb</t>
        </is>
      </c>
      <c r="C80" s="12" t="inlineStr">
        <is>
          <t>SALES</t>
        </is>
      </c>
      <c r="D80" s="12" t="inlineStr">
        <is>
          <t>Direct Sales</t>
        </is>
      </c>
      <c r="E80" s="12" t="inlineStr">
        <is>
          <t>OPEX</t>
        </is>
      </c>
      <c r="F80" s="12" t="inlineStr">
        <is>
          <t>Operating Expenses</t>
        </is>
      </c>
      <c r="G80" s="12" t="inlineStr">
        <is>
          <t>FINANCE</t>
        </is>
      </c>
      <c r="H80" s="12" t="inlineStr">
        <is>
          <t>Finance Costs</t>
        </is>
      </c>
      <c r="I80" s="13" t="n">
        <v>2285</v>
      </c>
    </row>
    <row r="81">
      <c r="A81" s="12" t="n">
        <v>2</v>
      </c>
      <c r="B81" s="12" t="inlineStr">
        <is>
          <t>Feb</t>
        </is>
      </c>
      <c r="C81" s="12" t="inlineStr">
        <is>
          <t>CHANNEL</t>
        </is>
      </c>
      <c r="D81" s="12" t="inlineStr">
        <is>
          <t>Distributor Channel</t>
        </is>
      </c>
      <c r="E81" s="12" t="inlineStr">
        <is>
          <t>OPEX</t>
        </is>
      </c>
      <c r="F81" s="12" t="inlineStr">
        <is>
          <t>Operating Expenses</t>
        </is>
      </c>
      <c r="G81" s="12" t="inlineStr">
        <is>
          <t>FINANCE</t>
        </is>
      </c>
      <c r="H81" s="12" t="inlineStr">
        <is>
          <t>Finance Costs</t>
        </is>
      </c>
      <c r="I81" s="13" t="n">
        <v>2218</v>
      </c>
    </row>
    <row r="82">
      <c r="A82" s="12" t="n">
        <v>2</v>
      </c>
      <c r="B82" s="12" t="inlineStr">
        <is>
          <t>Feb</t>
        </is>
      </c>
      <c r="C82" s="12" t="inlineStr">
        <is>
          <t>SERVICE</t>
        </is>
      </c>
      <c r="D82" s="12" t="inlineStr">
        <is>
          <t>Service and Support</t>
        </is>
      </c>
      <c r="E82" s="12" t="inlineStr">
        <is>
          <t>OPEX</t>
        </is>
      </c>
      <c r="F82" s="12" t="inlineStr">
        <is>
          <t>Operating Expenses</t>
        </is>
      </c>
      <c r="G82" s="12" t="inlineStr">
        <is>
          <t>FINANCE</t>
        </is>
      </c>
      <c r="H82" s="12" t="inlineStr">
        <is>
          <t>Finance Costs</t>
        </is>
      </c>
      <c r="I82" s="13" t="n">
        <v>2218</v>
      </c>
    </row>
    <row r="83">
      <c r="A83" s="12" t="n">
        <v>3</v>
      </c>
      <c r="B83" s="12" t="inlineStr">
        <is>
          <t>Mar</t>
        </is>
      </c>
      <c r="C83" s="12" t="inlineStr">
        <is>
          <t>SALES</t>
        </is>
      </c>
      <c r="D83" s="12" t="inlineStr">
        <is>
          <t>Direct Sales</t>
        </is>
      </c>
      <c r="E83" s="12" t="inlineStr">
        <is>
          <t>REVENUE</t>
        </is>
      </c>
      <c r="F83" s="12" t="inlineStr">
        <is>
          <t>Revenue</t>
        </is>
      </c>
      <c r="G83" s="12" t="inlineStr">
        <is>
          <t>REVENUE_PROD</t>
        </is>
      </c>
      <c r="H83" s="12" t="inlineStr">
        <is>
          <t>Product Revenue</t>
        </is>
      </c>
      <c r="I83" s="13" t="n">
        <v>586520</v>
      </c>
    </row>
    <row r="84">
      <c r="A84" s="12" t="n">
        <v>3</v>
      </c>
      <c r="B84" s="12" t="inlineStr">
        <is>
          <t>Mar</t>
        </is>
      </c>
      <c r="C84" s="12" t="inlineStr">
        <is>
          <t>CHANNEL</t>
        </is>
      </c>
      <c r="D84" s="12" t="inlineStr">
        <is>
          <t>Distributor Channel</t>
        </is>
      </c>
      <c r="E84" s="12" t="inlineStr">
        <is>
          <t>REVENUE</t>
        </is>
      </c>
      <c r="F84" s="12" t="inlineStr">
        <is>
          <t>Revenue</t>
        </is>
      </c>
      <c r="G84" s="12" t="inlineStr">
        <is>
          <t>REVENUE_PROD</t>
        </is>
      </c>
      <c r="H84" s="12" t="inlineStr">
        <is>
          <t>Product Revenue</t>
        </is>
      </c>
      <c r="I84" s="13" t="n">
        <v>319920</v>
      </c>
    </row>
    <row r="85">
      <c r="A85" s="12" t="n">
        <v>3</v>
      </c>
      <c r="B85" s="12" t="inlineStr">
        <is>
          <t>Mar</t>
        </is>
      </c>
      <c r="C85" s="12" t="inlineStr">
        <is>
          <t>SERVICE</t>
        </is>
      </c>
      <c r="D85" s="12" t="inlineStr">
        <is>
          <t>Service and Support</t>
        </is>
      </c>
      <c r="E85" s="12" t="inlineStr">
        <is>
          <t>REVENUE</t>
        </is>
      </c>
      <c r="F85" s="12" t="inlineStr">
        <is>
          <t>Revenue</t>
        </is>
      </c>
      <c r="G85" s="12" t="inlineStr">
        <is>
          <t>REVENUE_PROD</t>
        </is>
      </c>
      <c r="H85" s="12" t="inlineStr">
        <is>
          <t>Product Revenue</t>
        </is>
      </c>
      <c r="I85" s="13" t="n">
        <v>159960</v>
      </c>
    </row>
    <row r="86">
      <c r="A86" s="12" t="n">
        <v>3</v>
      </c>
      <c r="B86" s="12" t="inlineStr">
        <is>
          <t>Mar</t>
        </is>
      </c>
      <c r="C86" s="12" t="inlineStr">
        <is>
          <t>SALES</t>
        </is>
      </c>
      <c r="D86" s="12" t="inlineStr">
        <is>
          <t>Direct Sales</t>
        </is>
      </c>
      <c r="E86" s="12" t="inlineStr">
        <is>
          <t>REVENUE</t>
        </is>
      </c>
      <c r="F86" s="12" t="inlineStr">
        <is>
          <t>Revenue</t>
        </is>
      </c>
      <c r="G86" s="12" t="inlineStr">
        <is>
          <t>REVENUE_SVC</t>
        </is>
      </c>
      <c r="H86" s="12" t="inlineStr">
        <is>
          <t>Service Revenue</t>
        </is>
      </c>
      <c r="I86" s="13" t="n">
        <v>4945</v>
      </c>
    </row>
    <row r="87">
      <c r="A87" s="12" t="n">
        <v>3</v>
      </c>
      <c r="B87" s="12" t="inlineStr">
        <is>
          <t>Mar</t>
        </is>
      </c>
      <c r="C87" s="12" t="inlineStr">
        <is>
          <t>CHANNEL</t>
        </is>
      </c>
      <c r="D87" s="12" t="inlineStr">
        <is>
          <t>Distributor Channel</t>
        </is>
      </c>
      <c r="E87" s="12" t="inlineStr">
        <is>
          <t>REVENUE</t>
        </is>
      </c>
      <c r="F87" s="12" t="inlineStr">
        <is>
          <t>Revenue</t>
        </is>
      </c>
      <c r="G87" s="12" t="inlineStr">
        <is>
          <t>REVENUE_SVC</t>
        </is>
      </c>
      <c r="H87" s="12" t="inlineStr">
        <is>
          <t>Service Revenue</t>
        </is>
      </c>
      <c r="I87" s="13" t="n">
        <v>4945</v>
      </c>
    </row>
    <row r="88">
      <c r="A88" s="12" t="n">
        <v>3</v>
      </c>
      <c r="B88" s="12" t="inlineStr">
        <is>
          <t>Mar</t>
        </is>
      </c>
      <c r="C88" s="12" t="inlineStr">
        <is>
          <t>SERVICE</t>
        </is>
      </c>
      <c r="D88" s="12" t="inlineStr">
        <is>
          <t>Service and Support</t>
        </is>
      </c>
      <c r="E88" s="12" t="inlineStr">
        <is>
          <t>REVENUE</t>
        </is>
      </c>
      <c r="F88" s="12" t="inlineStr">
        <is>
          <t>Revenue</t>
        </is>
      </c>
      <c r="G88" s="12" t="inlineStr">
        <is>
          <t>REVENUE_SVC</t>
        </is>
      </c>
      <c r="H88" s="12" t="inlineStr">
        <is>
          <t>Service Revenue</t>
        </is>
      </c>
      <c r="I88" s="13" t="n">
        <v>89010</v>
      </c>
    </row>
    <row r="89">
      <c r="A89" s="12" t="n">
        <v>3</v>
      </c>
      <c r="B89" s="12" t="inlineStr">
        <is>
          <t>Mar</t>
        </is>
      </c>
      <c r="C89" s="12" t="inlineStr">
        <is>
          <t>SALES</t>
        </is>
      </c>
      <c r="D89" s="12" t="inlineStr">
        <is>
          <t>Direct Sales</t>
        </is>
      </c>
      <c r="E89" s="12" t="inlineStr">
        <is>
          <t>COGS</t>
        </is>
      </c>
      <c r="F89" s="12" t="inlineStr">
        <is>
          <t>Cost of Sales</t>
        </is>
      </c>
      <c r="G89" s="12" t="inlineStr">
        <is>
          <t>COGS</t>
        </is>
      </c>
      <c r="H89" s="12" t="inlineStr">
        <is>
          <t>Cost of Goods Sold</t>
        </is>
      </c>
      <c r="I89" s="13" t="n">
        <v>381238</v>
      </c>
    </row>
    <row r="90">
      <c r="A90" s="12" t="n">
        <v>3</v>
      </c>
      <c r="B90" s="12" t="inlineStr">
        <is>
          <t>Mar</t>
        </is>
      </c>
      <c r="C90" s="12" t="inlineStr">
        <is>
          <t>CHANNEL</t>
        </is>
      </c>
      <c r="D90" s="12" t="inlineStr">
        <is>
          <t>Distributor Channel</t>
        </is>
      </c>
      <c r="E90" s="12" t="inlineStr">
        <is>
          <t>COGS</t>
        </is>
      </c>
      <c r="F90" s="12" t="inlineStr">
        <is>
          <t>Cost of Sales</t>
        </is>
      </c>
      <c r="G90" s="12" t="inlineStr">
        <is>
          <t>COGS</t>
        </is>
      </c>
      <c r="H90" s="12" t="inlineStr">
        <is>
          <t>Cost of Goods Sold</t>
        </is>
      </c>
      <c r="I90" s="13" t="n">
        <v>207948</v>
      </c>
    </row>
    <row r="91">
      <c r="A91" s="12" t="n">
        <v>3</v>
      </c>
      <c r="B91" s="12" t="inlineStr">
        <is>
          <t>Mar</t>
        </is>
      </c>
      <c r="C91" s="12" t="inlineStr">
        <is>
          <t>SERVICE</t>
        </is>
      </c>
      <c r="D91" s="12" t="inlineStr">
        <is>
          <t>Service and Support</t>
        </is>
      </c>
      <c r="E91" s="12" t="inlineStr">
        <is>
          <t>COGS</t>
        </is>
      </c>
      <c r="F91" s="12" t="inlineStr">
        <is>
          <t>Cost of Sales</t>
        </is>
      </c>
      <c r="G91" s="12" t="inlineStr">
        <is>
          <t>COGS</t>
        </is>
      </c>
      <c r="H91" s="12" t="inlineStr">
        <is>
          <t>Cost of Goods Sold</t>
        </is>
      </c>
      <c r="I91" s="13" t="n">
        <v>103974</v>
      </c>
    </row>
    <row r="92">
      <c r="A92" s="12" t="n">
        <v>3</v>
      </c>
      <c r="B92" s="12" t="inlineStr">
        <is>
          <t>Mar</t>
        </is>
      </c>
      <c r="C92" s="12" t="inlineStr">
        <is>
          <t>SALES</t>
        </is>
      </c>
      <c r="D92" s="12" t="inlineStr">
        <is>
          <t>Direct Sales</t>
        </is>
      </c>
      <c r="E92" s="12" t="inlineStr">
        <is>
          <t>OPEX</t>
        </is>
      </c>
      <c r="F92" s="12" t="inlineStr">
        <is>
          <t>Operating Expenses</t>
        </is>
      </c>
      <c r="G92" s="12" t="inlineStr">
        <is>
          <t>SALARY</t>
        </is>
      </c>
      <c r="H92" s="12" t="inlineStr">
        <is>
          <t>Payroll</t>
        </is>
      </c>
      <c r="I92" s="13" t="n">
        <v>96965</v>
      </c>
    </row>
    <row r="93">
      <c r="A93" s="12" t="n">
        <v>3</v>
      </c>
      <c r="B93" s="12" t="inlineStr">
        <is>
          <t>Mar</t>
        </is>
      </c>
      <c r="C93" s="12" t="inlineStr">
        <is>
          <t>CHANNEL</t>
        </is>
      </c>
      <c r="D93" s="12" t="inlineStr">
        <is>
          <t>Distributor Channel</t>
        </is>
      </c>
      <c r="E93" s="12" t="inlineStr">
        <is>
          <t>OPEX</t>
        </is>
      </c>
      <c r="F93" s="12" t="inlineStr">
        <is>
          <t>Operating Expenses</t>
        </is>
      </c>
      <c r="G93" s="12" t="inlineStr">
        <is>
          <t>SALARY</t>
        </is>
      </c>
      <c r="H93" s="12" t="inlineStr">
        <is>
          <t>Payroll</t>
        </is>
      </c>
      <c r="I93" s="13" t="n">
        <v>52890</v>
      </c>
    </row>
    <row r="94">
      <c r="A94" s="12" t="n">
        <v>3</v>
      </c>
      <c r="B94" s="12" t="inlineStr">
        <is>
          <t>Mar</t>
        </is>
      </c>
      <c r="C94" s="12" t="inlineStr">
        <is>
          <t>SERVICE</t>
        </is>
      </c>
      <c r="D94" s="12" t="inlineStr">
        <is>
          <t>Service and Support</t>
        </is>
      </c>
      <c r="E94" s="12" t="inlineStr">
        <is>
          <t>OPEX</t>
        </is>
      </c>
      <c r="F94" s="12" t="inlineStr">
        <is>
          <t>Operating Expenses</t>
        </is>
      </c>
      <c r="G94" s="12" t="inlineStr">
        <is>
          <t>SALARY</t>
        </is>
      </c>
      <c r="H94" s="12" t="inlineStr">
        <is>
          <t>Payroll</t>
        </is>
      </c>
      <c r="I94" s="13" t="n">
        <v>26445</v>
      </c>
    </row>
    <row r="95">
      <c r="A95" s="12" t="n">
        <v>3</v>
      </c>
      <c r="B95" s="12" t="inlineStr">
        <is>
          <t>Mar</t>
        </is>
      </c>
      <c r="C95" s="12" t="inlineStr">
        <is>
          <t>SALES</t>
        </is>
      </c>
      <c r="D95" s="12" t="inlineStr">
        <is>
          <t>Direct Sales</t>
        </is>
      </c>
      <c r="E95" s="12" t="inlineStr">
        <is>
          <t>OPEX</t>
        </is>
      </c>
      <c r="F95" s="12" t="inlineStr">
        <is>
          <t>Operating Expenses</t>
        </is>
      </c>
      <c r="G95" s="12" t="inlineStr">
        <is>
          <t>RENT</t>
        </is>
      </c>
      <c r="H95" s="12" t="inlineStr">
        <is>
          <t>Rent and Facilities</t>
        </is>
      </c>
      <c r="I95" s="13" t="n">
        <v>11579</v>
      </c>
    </row>
    <row r="96">
      <c r="A96" s="12" t="n">
        <v>3</v>
      </c>
      <c r="B96" s="12" t="inlineStr">
        <is>
          <t>Mar</t>
        </is>
      </c>
      <c r="C96" s="12" t="inlineStr">
        <is>
          <t>CHANNEL</t>
        </is>
      </c>
      <c r="D96" s="12" t="inlineStr">
        <is>
          <t>Distributor Channel</t>
        </is>
      </c>
      <c r="E96" s="12" t="inlineStr">
        <is>
          <t>OPEX</t>
        </is>
      </c>
      <c r="F96" s="12" t="inlineStr">
        <is>
          <t>Operating Expenses</t>
        </is>
      </c>
      <c r="G96" s="12" t="inlineStr">
        <is>
          <t>RENT</t>
        </is>
      </c>
      <c r="H96" s="12" t="inlineStr">
        <is>
          <t>Rent and Facilities</t>
        </is>
      </c>
      <c r="I96" s="13" t="n">
        <v>11238</v>
      </c>
    </row>
    <row r="97">
      <c r="A97" s="12" t="n">
        <v>3</v>
      </c>
      <c r="B97" s="12" t="inlineStr">
        <is>
          <t>Mar</t>
        </is>
      </c>
      <c r="C97" s="12" t="inlineStr">
        <is>
          <t>SERVICE</t>
        </is>
      </c>
      <c r="D97" s="12" t="inlineStr">
        <is>
          <t>Service and Support</t>
        </is>
      </c>
      <c r="E97" s="12" t="inlineStr">
        <is>
          <t>OPEX</t>
        </is>
      </c>
      <c r="F97" s="12" t="inlineStr">
        <is>
          <t>Operating Expenses</t>
        </is>
      </c>
      <c r="G97" s="12" t="inlineStr">
        <is>
          <t>RENT</t>
        </is>
      </c>
      <c r="H97" s="12" t="inlineStr">
        <is>
          <t>Rent and Facilities</t>
        </is>
      </c>
      <c r="I97" s="13" t="n">
        <v>11238</v>
      </c>
    </row>
    <row r="98">
      <c r="A98" s="12" t="n">
        <v>3</v>
      </c>
      <c r="B98" s="12" t="inlineStr">
        <is>
          <t>Mar</t>
        </is>
      </c>
      <c r="C98" s="12" t="inlineStr">
        <is>
          <t>SALES</t>
        </is>
      </c>
      <c r="D98" s="12" t="inlineStr">
        <is>
          <t>Direct Sales</t>
        </is>
      </c>
      <c r="E98" s="12" t="inlineStr">
        <is>
          <t>OPEX</t>
        </is>
      </c>
      <c r="F98" s="12" t="inlineStr">
        <is>
          <t>Operating Expenses</t>
        </is>
      </c>
      <c r="G98" s="12" t="inlineStr">
        <is>
          <t>VEHICLE</t>
        </is>
      </c>
      <c r="H98" s="12" t="inlineStr">
        <is>
          <t>Vehicle</t>
        </is>
      </c>
      <c r="I98" s="13" t="n">
        <v>10122</v>
      </c>
    </row>
    <row r="99">
      <c r="A99" s="12" t="n">
        <v>3</v>
      </c>
      <c r="B99" s="12" t="inlineStr">
        <is>
          <t>Mar</t>
        </is>
      </c>
      <c r="C99" s="12" t="inlineStr">
        <is>
          <t>CHANNEL</t>
        </is>
      </c>
      <c r="D99" s="12" t="inlineStr">
        <is>
          <t>Distributor Channel</t>
        </is>
      </c>
      <c r="E99" s="12" t="inlineStr">
        <is>
          <t>OPEX</t>
        </is>
      </c>
      <c r="F99" s="12" t="inlineStr">
        <is>
          <t>Operating Expenses</t>
        </is>
      </c>
      <c r="G99" s="12" t="inlineStr">
        <is>
          <t>VEHICLE</t>
        </is>
      </c>
      <c r="H99" s="12" t="inlineStr">
        <is>
          <t>Vehicle</t>
        </is>
      </c>
      <c r="I99" s="13" t="n">
        <v>5521</v>
      </c>
    </row>
    <row r="100">
      <c r="A100" s="12" t="n">
        <v>3</v>
      </c>
      <c r="B100" s="12" t="inlineStr">
        <is>
          <t>Mar</t>
        </is>
      </c>
      <c r="C100" s="12" t="inlineStr">
        <is>
          <t>SERVICE</t>
        </is>
      </c>
      <c r="D100" s="12" t="inlineStr">
        <is>
          <t>Service and Support</t>
        </is>
      </c>
      <c r="E100" s="12" t="inlineStr">
        <is>
          <t>OPEX</t>
        </is>
      </c>
      <c r="F100" s="12" t="inlineStr">
        <is>
          <t>Operating Expenses</t>
        </is>
      </c>
      <c r="G100" s="12" t="inlineStr">
        <is>
          <t>VEHICLE</t>
        </is>
      </c>
      <c r="H100" s="12" t="inlineStr">
        <is>
          <t>Vehicle</t>
        </is>
      </c>
      <c r="I100" s="13" t="n">
        <v>2761</v>
      </c>
    </row>
    <row r="101">
      <c r="A101" s="12" t="n">
        <v>3</v>
      </c>
      <c r="B101" s="12" t="inlineStr">
        <is>
          <t>Mar</t>
        </is>
      </c>
      <c r="C101" s="12" t="inlineStr">
        <is>
          <t>SALES</t>
        </is>
      </c>
      <c r="D101" s="12" t="inlineStr">
        <is>
          <t>Direct Sales</t>
        </is>
      </c>
      <c r="E101" s="12" t="inlineStr">
        <is>
          <t>OPEX</t>
        </is>
      </c>
      <c r="F101" s="12" t="inlineStr">
        <is>
          <t>Operating Expenses</t>
        </is>
      </c>
      <c r="G101" s="12" t="inlineStr">
        <is>
          <t>MARKETING</t>
        </is>
      </c>
      <c r="H101" s="12" t="inlineStr">
        <is>
          <t>Marketing</t>
        </is>
      </c>
      <c r="I101" s="13" t="n">
        <v>15609</v>
      </c>
    </row>
    <row r="102">
      <c r="A102" s="12" t="n">
        <v>3</v>
      </c>
      <c r="B102" s="12" t="inlineStr">
        <is>
          <t>Mar</t>
        </is>
      </c>
      <c r="C102" s="12" t="inlineStr">
        <is>
          <t>CHANNEL</t>
        </is>
      </c>
      <c r="D102" s="12" t="inlineStr">
        <is>
          <t>Distributor Channel</t>
        </is>
      </c>
      <c r="E102" s="12" t="inlineStr">
        <is>
          <t>OPEX</t>
        </is>
      </c>
      <c r="F102" s="12" t="inlineStr">
        <is>
          <t>Operating Expenses</t>
        </is>
      </c>
      <c r="G102" s="12" t="inlineStr">
        <is>
          <t>MARKETING</t>
        </is>
      </c>
      <c r="H102" s="12" t="inlineStr">
        <is>
          <t>Marketing</t>
        </is>
      </c>
      <c r="I102" s="13" t="n">
        <v>8514</v>
      </c>
    </row>
    <row r="103">
      <c r="A103" s="12" t="n">
        <v>3</v>
      </c>
      <c r="B103" s="12" t="inlineStr">
        <is>
          <t>Mar</t>
        </is>
      </c>
      <c r="C103" s="12" t="inlineStr">
        <is>
          <t>SERVICE</t>
        </is>
      </c>
      <c r="D103" s="12" t="inlineStr">
        <is>
          <t>Service and Support</t>
        </is>
      </c>
      <c r="E103" s="12" t="inlineStr">
        <is>
          <t>OPEX</t>
        </is>
      </c>
      <c r="F103" s="12" t="inlineStr">
        <is>
          <t>Operating Expenses</t>
        </is>
      </c>
      <c r="G103" s="12" t="inlineStr">
        <is>
          <t>MARKETING</t>
        </is>
      </c>
      <c r="H103" s="12" t="inlineStr">
        <is>
          <t>Marketing</t>
        </is>
      </c>
      <c r="I103" s="13" t="n">
        <v>4257</v>
      </c>
    </row>
    <row r="104">
      <c r="A104" s="12" t="n">
        <v>3</v>
      </c>
      <c r="B104" s="12" t="inlineStr">
        <is>
          <t>Mar</t>
        </is>
      </c>
      <c r="C104" s="12" t="inlineStr">
        <is>
          <t>SALES</t>
        </is>
      </c>
      <c r="D104" s="12" t="inlineStr">
        <is>
          <t>Direct Sales</t>
        </is>
      </c>
      <c r="E104" s="12" t="inlineStr">
        <is>
          <t>OPEX</t>
        </is>
      </c>
      <c r="F104" s="12" t="inlineStr">
        <is>
          <t>Operating Expenses</t>
        </is>
      </c>
      <c r="G104" s="12" t="inlineStr">
        <is>
          <t>ENTERTAIN</t>
        </is>
      </c>
      <c r="H104" s="12" t="inlineStr">
        <is>
          <t>Entertainment</t>
        </is>
      </c>
      <c r="I104" s="13" t="n">
        <v>2270</v>
      </c>
    </row>
    <row r="105">
      <c r="A105" s="12" t="n">
        <v>3</v>
      </c>
      <c r="B105" s="12" t="inlineStr">
        <is>
          <t>Mar</t>
        </is>
      </c>
      <c r="C105" s="12" t="inlineStr">
        <is>
          <t>CHANNEL</t>
        </is>
      </c>
      <c r="D105" s="12" t="inlineStr">
        <is>
          <t>Distributor Channel</t>
        </is>
      </c>
      <c r="E105" s="12" t="inlineStr">
        <is>
          <t>OPEX</t>
        </is>
      </c>
      <c r="F105" s="12" t="inlineStr">
        <is>
          <t>Operating Expenses</t>
        </is>
      </c>
      <c r="G105" s="12" t="inlineStr">
        <is>
          <t>ENTERTAIN</t>
        </is>
      </c>
      <c r="H105" s="12" t="inlineStr">
        <is>
          <t>Entertainment</t>
        </is>
      </c>
      <c r="I105" s="13" t="n">
        <v>1238</v>
      </c>
    </row>
    <row r="106">
      <c r="A106" s="12" t="n">
        <v>3</v>
      </c>
      <c r="B106" s="12" t="inlineStr">
        <is>
          <t>Mar</t>
        </is>
      </c>
      <c r="C106" s="12" t="inlineStr">
        <is>
          <t>SERVICE</t>
        </is>
      </c>
      <c r="D106" s="12" t="inlineStr">
        <is>
          <t>Service and Support</t>
        </is>
      </c>
      <c r="E106" s="12" t="inlineStr">
        <is>
          <t>OPEX</t>
        </is>
      </c>
      <c r="F106" s="12" t="inlineStr">
        <is>
          <t>Operating Expenses</t>
        </is>
      </c>
      <c r="G106" s="12" t="inlineStr">
        <is>
          <t>ENTERTAIN</t>
        </is>
      </c>
      <c r="H106" s="12" t="inlineStr">
        <is>
          <t>Entertainment</t>
        </is>
      </c>
      <c r="I106" s="13" t="n">
        <v>619</v>
      </c>
    </row>
    <row r="107">
      <c r="A107" s="12" t="n">
        <v>3</v>
      </c>
      <c r="B107" s="12" t="inlineStr">
        <is>
          <t>Mar</t>
        </is>
      </c>
      <c r="C107" s="12" t="inlineStr">
        <is>
          <t>SALES</t>
        </is>
      </c>
      <c r="D107" s="12" t="inlineStr">
        <is>
          <t>Direct Sales</t>
        </is>
      </c>
      <c r="E107" s="12" t="inlineStr">
        <is>
          <t>OPEX</t>
        </is>
      </c>
      <c r="F107" s="12" t="inlineStr">
        <is>
          <t>Operating Expenses</t>
        </is>
      </c>
      <c r="G107" s="12" t="inlineStr">
        <is>
          <t>OFFICE</t>
        </is>
      </c>
      <c r="H107" s="12" t="inlineStr">
        <is>
          <t>Office</t>
        </is>
      </c>
      <c r="I107" s="13" t="n">
        <v>5960</v>
      </c>
    </row>
    <row r="108">
      <c r="A108" s="12" t="n">
        <v>3</v>
      </c>
      <c r="B108" s="12" t="inlineStr">
        <is>
          <t>Mar</t>
        </is>
      </c>
      <c r="C108" s="12" t="inlineStr">
        <is>
          <t>CHANNEL</t>
        </is>
      </c>
      <c r="D108" s="12" t="inlineStr">
        <is>
          <t>Distributor Channel</t>
        </is>
      </c>
      <c r="E108" s="12" t="inlineStr">
        <is>
          <t>OPEX</t>
        </is>
      </c>
      <c r="F108" s="12" t="inlineStr">
        <is>
          <t>Operating Expenses</t>
        </is>
      </c>
      <c r="G108" s="12" t="inlineStr">
        <is>
          <t>OFFICE</t>
        </is>
      </c>
      <c r="H108" s="12" t="inlineStr">
        <is>
          <t>Office</t>
        </is>
      </c>
      <c r="I108" s="13" t="n">
        <v>3251</v>
      </c>
    </row>
    <row r="109">
      <c r="A109" s="12" t="n">
        <v>3</v>
      </c>
      <c r="B109" s="12" t="inlineStr">
        <is>
          <t>Mar</t>
        </is>
      </c>
      <c r="C109" s="12" t="inlineStr">
        <is>
          <t>SERVICE</t>
        </is>
      </c>
      <c r="D109" s="12" t="inlineStr">
        <is>
          <t>Service and Support</t>
        </is>
      </c>
      <c r="E109" s="12" t="inlineStr">
        <is>
          <t>OPEX</t>
        </is>
      </c>
      <c r="F109" s="12" t="inlineStr">
        <is>
          <t>Operating Expenses</t>
        </is>
      </c>
      <c r="G109" s="12" t="inlineStr">
        <is>
          <t>OFFICE</t>
        </is>
      </c>
      <c r="H109" s="12" t="inlineStr">
        <is>
          <t>Office</t>
        </is>
      </c>
      <c r="I109" s="13" t="n">
        <v>1625</v>
      </c>
    </row>
    <row r="110">
      <c r="A110" s="12" t="n">
        <v>3</v>
      </c>
      <c r="B110" s="12" t="inlineStr">
        <is>
          <t>Mar</t>
        </is>
      </c>
      <c r="C110" s="12" t="inlineStr">
        <is>
          <t>SALES</t>
        </is>
      </c>
      <c r="D110" s="12" t="inlineStr">
        <is>
          <t>Direct Sales</t>
        </is>
      </c>
      <c r="E110" s="12" t="inlineStr">
        <is>
          <t>OPEX</t>
        </is>
      </c>
      <c r="F110" s="12" t="inlineStr">
        <is>
          <t>Operating Expenses</t>
        </is>
      </c>
      <c r="G110" s="12" t="inlineStr">
        <is>
          <t>MERCHANT</t>
        </is>
      </c>
      <c r="H110" s="12" t="inlineStr">
        <is>
          <t>Merchant Fees</t>
        </is>
      </c>
      <c r="I110" s="13" t="n">
        <v>7190</v>
      </c>
    </row>
    <row r="111">
      <c r="A111" s="12" t="n">
        <v>3</v>
      </c>
      <c r="B111" s="12" t="inlineStr">
        <is>
          <t>Mar</t>
        </is>
      </c>
      <c r="C111" s="12" t="inlineStr">
        <is>
          <t>CHANNEL</t>
        </is>
      </c>
      <c r="D111" s="12" t="inlineStr">
        <is>
          <t>Distributor Channel</t>
        </is>
      </c>
      <c r="E111" s="12" t="inlineStr">
        <is>
          <t>OPEX</t>
        </is>
      </c>
      <c r="F111" s="12" t="inlineStr">
        <is>
          <t>Operating Expenses</t>
        </is>
      </c>
      <c r="G111" s="12" t="inlineStr">
        <is>
          <t>MERCHANT</t>
        </is>
      </c>
      <c r="H111" s="12" t="inlineStr">
        <is>
          <t>Merchant Fees</t>
        </is>
      </c>
      <c r="I111" s="13" t="n">
        <v>3922</v>
      </c>
    </row>
    <row r="112">
      <c r="A112" s="12" t="n">
        <v>3</v>
      </c>
      <c r="B112" s="12" t="inlineStr">
        <is>
          <t>Mar</t>
        </is>
      </c>
      <c r="C112" s="12" t="inlineStr">
        <is>
          <t>SERVICE</t>
        </is>
      </c>
      <c r="D112" s="12" t="inlineStr">
        <is>
          <t>Service and Support</t>
        </is>
      </c>
      <c r="E112" s="12" t="inlineStr">
        <is>
          <t>OPEX</t>
        </is>
      </c>
      <c r="F112" s="12" t="inlineStr">
        <is>
          <t>Operating Expenses</t>
        </is>
      </c>
      <c r="G112" s="12" t="inlineStr">
        <is>
          <t>MERCHANT</t>
        </is>
      </c>
      <c r="H112" s="12" t="inlineStr">
        <is>
          <t>Merchant Fees</t>
        </is>
      </c>
      <c r="I112" s="13" t="n">
        <v>1961</v>
      </c>
    </row>
    <row r="113">
      <c r="A113" s="12" t="n">
        <v>3</v>
      </c>
      <c r="B113" s="12" t="inlineStr">
        <is>
          <t>Mar</t>
        </is>
      </c>
      <c r="C113" s="12" t="inlineStr">
        <is>
          <t>SALES</t>
        </is>
      </c>
      <c r="D113" s="12" t="inlineStr">
        <is>
          <t>Direct Sales</t>
        </is>
      </c>
      <c r="E113" s="12" t="inlineStr">
        <is>
          <t>OPEX</t>
        </is>
      </c>
      <c r="F113" s="12" t="inlineStr">
        <is>
          <t>Operating Expenses</t>
        </is>
      </c>
      <c r="G113" s="12" t="inlineStr">
        <is>
          <t>PROFSVC</t>
        </is>
      </c>
      <c r="H113" s="12" t="inlineStr">
        <is>
          <t>Professional Fees</t>
        </is>
      </c>
      <c r="I113" s="13" t="n">
        <v>5581</v>
      </c>
    </row>
    <row r="114">
      <c r="A114" s="12" t="n">
        <v>3</v>
      </c>
      <c r="B114" s="12" t="inlineStr">
        <is>
          <t>Mar</t>
        </is>
      </c>
      <c r="C114" s="12" t="inlineStr">
        <is>
          <t>CHANNEL</t>
        </is>
      </c>
      <c r="D114" s="12" t="inlineStr">
        <is>
          <t>Distributor Channel</t>
        </is>
      </c>
      <c r="E114" s="12" t="inlineStr">
        <is>
          <t>OPEX</t>
        </is>
      </c>
      <c r="F114" s="12" t="inlineStr">
        <is>
          <t>Operating Expenses</t>
        </is>
      </c>
      <c r="G114" s="12" t="inlineStr">
        <is>
          <t>PROFSVC</t>
        </is>
      </c>
      <c r="H114" s="12" t="inlineStr">
        <is>
          <t>Professional Fees</t>
        </is>
      </c>
      <c r="I114" s="13" t="n">
        <v>3044</v>
      </c>
    </row>
    <row r="115">
      <c r="A115" s="12" t="n">
        <v>3</v>
      </c>
      <c r="B115" s="12" t="inlineStr">
        <is>
          <t>Mar</t>
        </is>
      </c>
      <c r="C115" s="12" t="inlineStr">
        <is>
          <t>SERVICE</t>
        </is>
      </c>
      <c r="D115" s="12" t="inlineStr">
        <is>
          <t>Service and Support</t>
        </is>
      </c>
      <c r="E115" s="12" t="inlineStr">
        <is>
          <t>OPEX</t>
        </is>
      </c>
      <c r="F115" s="12" t="inlineStr">
        <is>
          <t>Operating Expenses</t>
        </is>
      </c>
      <c r="G115" s="12" t="inlineStr">
        <is>
          <t>PROFSVC</t>
        </is>
      </c>
      <c r="H115" s="12" t="inlineStr">
        <is>
          <t>Professional Fees</t>
        </is>
      </c>
      <c r="I115" s="13" t="n">
        <v>1522</v>
      </c>
    </row>
    <row r="116">
      <c r="A116" s="12" t="n">
        <v>3</v>
      </c>
      <c r="B116" s="12" t="inlineStr">
        <is>
          <t>Mar</t>
        </is>
      </c>
      <c r="C116" s="12" t="inlineStr">
        <is>
          <t>SALES</t>
        </is>
      </c>
      <c r="D116" s="12" t="inlineStr">
        <is>
          <t>Direct Sales</t>
        </is>
      </c>
      <c r="E116" s="12" t="inlineStr">
        <is>
          <t>OPEX</t>
        </is>
      </c>
      <c r="F116" s="12" t="inlineStr">
        <is>
          <t>Operating Expenses</t>
        </is>
      </c>
      <c r="G116" s="12" t="inlineStr">
        <is>
          <t>DEPREC</t>
        </is>
      </c>
      <c r="H116" s="12" t="inlineStr">
        <is>
          <t>Depreciation</t>
        </is>
      </c>
      <c r="I116" s="13" t="n">
        <v>5263</v>
      </c>
    </row>
    <row r="117">
      <c r="A117" s="12" t="n">
        <v>3</v>
      </c>
      <c r="B117" s="12" t="inlineStr">
        <is>
          <t>Mar</t>
        </is>
      </c>
      <c r="C117" s="12" t="inlineStr">
        <is>
          <t>CHANNEL</t>
        </is>
      </c>
      <c r="D117" s="12" t="inlineStr">
        <is>
          <t>Distributor Channel</t>
        </is>
      </c>
      <c r="E117" s="12" t="inlineStr">
        <is>
          <t>OPEX</t>
        </is>
      </c>
      <c r="F117" s="12" t="inlineStr">
        <is>
          <t>Operating Expenses</t>
        </is>
      </c>
      <c r="G117" s="12" t="inlineStr">
        <is>
          <t>DEPREC</t>
        </is>
      </c>
      <c r="H117" s="12" t="inlineStr">
        <is>
          <t>Depreciation</t>
        </is>
      </c>
      <c r="I117" s="13" t="n">
        <v>5108</v>
      </c>
    </row>
    <row r="118">
      <c r="A118" s="12" t="n">
        <v>3</v>
      </c>
      <c r="B118" s="12" t="inlineStr">
        <is>
          <t>Mar</t>
        </is>
      </c>
      <c r="C118" s="12" t="inlineStr">
        <is>
          <t>SERVICE</t>
        </is>
      </c>
      <c r="D118" s="12" t="inlineStr">
        <is>
          <t>Service and Support</t>
        </is>
      </c>
      <c r="E118" s="12" t="inlineStr">
        <is>
          <t>OPEX</t>
        </is>
      </c>
      <c r="F118" s="12" t="inlineStr">
        <is>
          <t>Operating Expenses</t>
        </is>
      </c>
      <c r="G118" s="12" t="inlineStr">
        <is>
          <t>DEPREC</t>
        </is>
      </c>
      <c r="H118" s="12" t="inlineStr">
        <is>
          <t>Depreciation</t>
        </is>
      </c>
      <c r="I118" s="13" t="n">
        <v>5108</v>
      </c>
    </row>
    <row r="119">
      <c r="A119" s="12" t="n">
        <v>3</v>
      </c>
      <c r="B119" s="12" t="inlineStr">
        <is>
          <t>Mar</t>
        </is>
      </c>
      <c r="C119" s="12" t="inlineStr">
        <is>
          <t>SALES</t>
        </is>
      </c>
      <c r="D119" s="12" t="inlineStr">
        <is>
          <t>Direct Sales</t>
        </is>
      </c>
      <c r="E119" s="12" t="inlineStr">
        <is>
          <t>OPEX</t>
        </is>
      </c>
      <c r="F119" s="12" t="inlineStr">
        <is>
          <t>Operating Expenses</t>
        </is>
      </c>
      <c r="G119" s="12" t="inlineStr">
        <is>
          <t>FINANCE</t>
        </is>
      </c>
      <c r="H119" s="12" t="inlineStr">
        <is>
          <t>Finance Costs</t>
        </is>
      </c>
      <c r="I119" s="13" t="n">
        <v>2807</v>
      </c>
    </row>
    <row r="120">
      <c r="A120" s="12" t="n">
        <v>3</v>
      </c>
      <c r="B120" s="12" t="inlineStr">
        <is>
          <t>Mar</t>
        </is>
      </c>
      <c r="C120" s="12" t="inlineStr">
        <is>
          <t>CHANNEL</t>
        </is>
      </c>
      <c r="D120" s="12" t="inlineStr">
        <is>
          <t>Distributor Channel</t>
        </is>
      </c>
      <c r="E120" s="12" t="inlineStr">
        <is>
          <t>OPEX</t>
        </is>
      </c>
      <c r="F120" s="12" t="inlineStr">
        <is>
          <t>Operating Expenses</t>
        </is>
      </c>
      <c r="G120" s="12" t="inlineStr">
        <is>
          <t>FINANCE</t>
        </is>
      </c>
      <c r="H120" s="12" t="inlineStr">
        <is>
          <t>Finance Costs</t>
        </is>
      </c>
      <c r="I120" s="13" t="n">
        <v>2724</v>
      </c>
    </row>
    <row r="121">
      <c r="A121" s="12" t="n">
        <v>3</v>
      </c>
      <c r="B121" s="12" t="inlineStr">
        <is>
          <t>Mar</t>
        </is>
      </c>
      <c r="C121" s="12" t="inlineStr">
        <is>
          <t>SERVICE</t>
        </is>
      </c>
      <c r="D121" s="12" t="inlineStr">
        <is>
          <t>Service and Support</t>
        </is>
      </c>
      <c r="E121" s="12" t="inlineStr">
        <is>
          <t>OPEX</t>
        </is>
      </c>
      <c r="F121" s="12" t="inlineStr">
        <is>
          <t>Operating Expenses</t>
        </is>
      </c>
      <c r="G121" s="12" t="inlineStr">
        <is>
          <t>FINANCE</t>
        </is>
      </c>
      <c r="H121" s="12" t="inlineStr">
        <is>
          <t>Finance Costs</t>
        </is>
      </c>
      <c r="I121" s="13" t="n">
        <v>2724</v>
      </c>
    </row>
    <row r="122">
      <c r="A122" s="12" t="n">
        <v>4</v>
      </c>
      <c r="B122" s="12" t="inlineStr">
        <is>
          <t>Apr</t>
        </is>
      </c>
      <c r="C122" s="12" t="inlineStr">
        <is>
          <t>SALES</t>
        </is>
      </c>
      <c r="D122" s="12" t="inlineStr">
        <is>
          <t>Direct Sales</t>
        </is>
      </c>
      <c r="E122" s="12" t="inlineStr">
        <is>
          <t>REVENUE</t>
        </is>
      </c>
      <c r="F122" s="12" t="inlineStr">
        <is>
          <t>Revenue</t>
        </is>
      </c>
      <c r="G122" s="12" t="inlineStr">
        <is>
          <t>REVENUE_PROD</t>
        </is>
      </c>
      <c r="H122" s="12" t="inlineStr">
        <is>
          <t>Product Revenue</t>
        </is>
      </c>
      <c r="I122" s="13" t="n">
        <v>538780</v>
      </c>
    </row>
    <row r="123">
      <c r="A123" s="12" t="n">
        <v>4</v>
      </c>
      <c r="B123" s="12" t="inlineStr">
        <is>
          <t>Apr</t>
        </is>
      </c>
      <c r="C123" s="12" t="inlineStr">
        <is>
          <t>CHANNEL</t>
        </is>
      </c>
      <c r="D123" s="12" t="inlineStr">
        <is>
          <t>Distributor Channel</t>
        </is>
      </c>
      <c r="E123" s="12" t="inlineStr">
        <is>
          <t>REVENUE</t>
        </is>
      </c>
      <c r="F123" s="12" t="inlineStr">
        <is>
          <t>Revenue</t>
        </is>
      </c>
      <c r="G123" s="12" t="inlineStr">
        <is>
          <t>REVENUE_PROD</t>
        </is>
      </c>
      <c r="H123" s="12" t="inlineStr">
        <is>
          <t>Product Revenue</t>
        </is>
      </c>
      <c r="I123" s="13" t="n">
        <v>293880</v>
      </c>
    </row>
    <row r="124">
      <c r="A124" s="12" t="n">
        <v>4</v>
      </c>
      <c r="B124" s="12" t="inlineStr">
        <is>
          <t>Apr</t>
        </is>
      </c>
      <c r="C124" s="12" t="inlineStr">
        <is>
          <t>SERVICE</t>
        </is>
      </c>
      <c r="D124" s="12" t="inlineStr">
        <is>
          <t>Service and Support</t>
        </is>
      </c>
      <c r="E124" s="12" t="inlineStr">
        <is>
          <t>REVENUE</t>
        </is>
      </c>
      <c r="F124" s="12" t="inlineStr">
        <is>
          <t>Revenue</t>
        </is>
      </c>
      <c r="G124" s="12" t="inlineStr">
        <is>
          <t>REVENUE_PROD</t>
        </is>
      </c>
      <c r="H124" s="12" t="inlineStr">
        <is>
          <t>Product Revenue</t>
        </is>
      </c>
      <c r="I124" s="13" t="n">
        <v>146940</v>
      </c>
    </row>
    <row r="125">
      <c r="A125" s="12" t="n">
        <v>4</v>
      </c>
      <c r="B125" s="12" t="inlineStr">
        <is>
          <t>Apr</t>
        </is>
      </c>
      <c r="C125" s="12" t="inlineStr">
        <is>
          <t>SALES</t>
        </is>
      </c>
      <c r="D125" s="12" t="inlineStr">
        <is>
          <t>Direct Sales</t>
        </is>
      </c>
      <c r="E125" s="12" t="inlineStr">
        <is>
          <t>REVENUE</t>
        </is>
      </c>
      <c r="F125" s="12" t="inlineStr">
        <is>
          <t>Revenue</t>
        </is>
      </c>
      <c r="G125" s="12" t="inlineStr">
        <is>
          <t>REVENUE_SVC</t>
        </is>
      </c>
      <c r="H125" s="12" t="inlineStr">
        <is>
          <t>Service Revenue</t>
        </is>
      </c>
      <c r="I125" s="13" t="n">
        <v>4542</v>
      </c>
    </row>
    <row r="126">
      <c r="A126" s="12" t="n">
        <v>4</v>
      </c>
      <c r="B126" s="12" t="inlineStr">
        <is>
          <t>Apr</t>
        </is>
      </c>
      <c r="C126" s="12" t="inlineStr">
        <is>
          <t>CHANNEL</t>
        </is>
      </c>
      <c r="D126" s="12" t="inlineStr">
        <is>
          <t>Distributor Channel</t>
        </is>
      </c>
      <c r="E126" s="12" t="inlineStr">
        <is>
          <t>REVENUE</t>
        </is>
      </c>
      <c r="F126" s="12" t="inlineStr">
        <is>
          <t>Revenue</t>
        </is>
      </c>
      <c r="G126" s="12" t="inlineStr">
        <is>
          <t>REVENUE_SVC</t>
        </is>
      </c>
      <c r="H126" s="12" t="inlineStr">
        <is>
          <t>Service Revenue</t>
        </is>
      </c>
      <c r="I126" s="13" t="n">
        <v>4542</v>
      </c>
    </row>
    <row r="127">
      <c r="A127" s="12" t="n">
        <v>4</v>
      </c>
      <c r="B127" s="12" t="inlineStr">
        <is>
          <t>Apr</t>
        </is>
      </c>
      <c r="C127" s="12" t="inlineStr">
        <is>
          <t>SERVICE</t>
        </is>
      </c>
      <c r="D127" s="12" t="inlineStr">
        <is>
          <t>Service and Support</t>
        </is>
      </c>
      <c r="E127" s="12" t="inlineStr">
        <is>
          <t>REVENUE</t>
        </is>
      </c>
      <c r="F127" s="12" t="inlineStr">
        <is>
          <t>Revenue</t>
        </is>
      </c>
      <c r="G127" s="12" t="inlineStr">
        <is>
          <t>REVENUE_SVC</t>
        </is>
      </c>
      <c r="H127" s="12" t="inlineStr">
        <is>
          <t>Service Revenue</t>
        </is>
      </c>
      <c r="I127" s="13" t="n">
        <v>81765</v>
      </c>
    </row>
    <row r="128">
      <c r="A128" s="12" t="n">
        <v>4</v>
      </c>
      <c r="B128" s="12" t="inlineStr">
        <is>
          <t>Apr</t>
        </is>
      </c>
      <c r="C128" s="12" t="inlineStr">
        <is>
          <t>SALES</t>
        </is>
      </c>
      <c r="D128" s="12" t="inlineStr">
        <is>
          <t>Direct Sales</t>
        </is>
      </c>
      <c r="E128" s="12" t="inlineStr">
        <is>
          <t>COGS</t>
        </is>
      </c>
      <c r="F128" s="12" t="inlineStr">
        <is>
          <t>Cost of Sales</t>
        </is>
      </c>
      <c r="G128" s="12" t="inlineStr">
        <is>
          <t>COGS</t>
        </is>
      </c>
      <c r="H128" s="12" t="inlineStr">
        <is>
          <t>Cost of Goods Sold</t>
        </is>
      </c>
      <c r="I128" s="13" t="n">
        <v>350207</v>
      </c>
    </row>
    <row r="129">
      <c r="A129" s="12" t="n">
        <v>4</v>
      </c>
      <c r="B129" s="12" t="inlineStr">
        <is>
          <t>Apr</t>
        </is>
      </c>
      <c r="C129" s="12" t="inlineStr">
        <is>
          <t>CHANNEL</t>
        </is>
      </c>
      <c r="D129" s="12" t="inlineStr">
        <is>
          <t>Distributor Channel</t>
        </is>
      </c>
      <c r="E129" s="12" t="inlineStr">
        <is>
          <t>COGS</t>
        </is>
      </c>
      <c r="F129" s="12" t="inlineStr">
        <is>
          <t>Cost of Sales</t>
        </is>
      </c>
      <c r="G129" s="12" t="inlineStr">
        <is>
          <t>COGS</t>
        </is>
      </c>
      <c r="H129" s="12" t="inlineStr">
        <is>
          <t>Cost of Goods Sold</t>
        </is>
      </c>
      <c r="I129" s="13" t="n">
        <v>191022</v>
      </c>
    </row>
    <row r="130">
      <c r="A130" s="12" t="n">
        <v>4</v>
      </c>
      <c r="B130" s="12" t="inlineStr">
        <is>
          <t>Apr</t>
        </is>
      </c>
      <c r="C130" s="12" t="inlineStr">
        <is>
          <t>SERVICE</t>
        </is>
      </c>
      <c r="D130" s="12" t="inlineStr">
        <is>
          <t>Service and Support</t>
        </is>
      </c>
      <c r="E130" s="12" t="inlineStr">
        <is>
          <t>COGS</t>
        </is>
      </c>
      <c r="F130" s="12" t="inlineStr">
        <is>
          <t>Cost of Sales</t>
        </is>
      </c>
      <c r="G130" s="12" t="inlineStr">
        <is>
          <t>COGS</t>
        </is>
      </c>
      <c r="H130" s="12" t="inlineStr">
        <is>
          <t>Cost of Goods Sold</t>
        </is>
      </c>
      <c r="I130" s="13" t="n">
        <v>95511</v>
      </c>
    </row>
    <row r="131">
      <c r="A131" s="12" t="n">
        <v>4</v>
      </c>
      <c r="B131" s="12" t="inlineStr">
        <is>
          <t>Apr</t>
        </is>
      </c>
      <c r="C131" s="12" t="inlineStr">
        <is>
          <t>SALES</t>
        </is>
      </c>
      <c r="D131" s="12" t="inlineStr">
        <is>
          <t>Direct Sales</t>
        </is>
      </c>
      <c r="E131" s="12" t="inlineStr">
        <is>
          <t>OPEX</t>
        </is>
      </c>
      <c r="F131" s="12" t="inlineStr">
        <is>
          <t>Operating Expenses</t>
        </is>
      </c>
      <c r="G131" s="12" t="inlineStr">
        <is>
          <t>SALARY</t>
        </is>
      </c>
      <c r="H131" s="12" t="inlineStr">
        <is>
          <t>Payroll</t>
        </is>
      </c>
      <c r="I131" s="13" t="n">
        <v>89072</v>
      </c>
    </row>
    <row r="132">
      <c r="A132" s="12" t="n">
        <v>4</v>
      </c>
      <c r="B132" s="12" t="inlineStr">
        <is>
          <t>Apr</t>
        </is>
      </c>
      <c r="C132" s="12" t="inlineStr">
        <is>
          <t>CHANNEL</t>
        </is>
      </c>
      <c r="D132" s="12" t="inlineStr">
        <is>
          <t>Distributor Channel</t>
        </is>
      </c>
      <c r="E132" s="12" t="inlineStr">
        <is>
          <t>OPEX</t>
        </is>
      </c>
      <c r="F132" s="12" t="inlineStr">
        <is>
          <t>Operating Expenses</t>
        </is>
      </c>
      <c r="G132" s="12" t="inlineStr">
        <is>
          <t>SALARY</t>
        </is>
      </c>
      <c r="H132" s="12" t="inlineStr">
        <is>
          <t>Payroll</t>
        </is>
      </c>
      <c r="I132" s="13" t="n">
        <v>48585</v>
      </c>
    </row>
    <row r="133">
      <c r="A133" s="12" t="n">
        <v>4</v>
      </c>
      <c r="B133" s="12" t="inlineStr">
        <is>
          <t>Apr</t>
        </is>
      </c>
      <c r="C133" s="12" t="inlineStr">
        <is>
          <t>SERVICE</t>
        </is>
      </c>
      <c r="D133" s="12" t="inlineStr">
        <is>
          <t>Service and Support</t>
        </is>
      </c>
      <c r="E133" s="12" t="inlineStr">
        <is>
          <t>OPEX</t>
        </is>
      </c>
      <c r="F133" s="12" t="inlineStr">
        <is>
          <t>Operating Expenses</t>
        </is>
      </c>
      <c r="G133" s="12" t="inlineStr">
        <is>
          <t>SALARY</t>
        </is>
      </c>
      <c r="H133" s="12" t="inlineStr">
        <is>
          <t>Payroll</t>
        </is>
      </c>
      <c r="I133" s="13" t="n">
        <v>24292</v>
      </c>
    </row>
    <row r="134">
      <c r="A134" s="12" t="n">
        <v>4</v>
      </c>
      <c r="B134" s="12" t="inlineStr">
        <is>
          <t>Apr</t>
        </is>
      </c>
      <c r="C134" s="12" t="inlineStr">
        <is>
          <t>SALES</t>
        </is>
      </c>
      <c r="D134" s="12" t="inlineStr">
        <is>
          <t>Direct Sales</t>
        </is>
      </c>
      <c r="E134" s="12" t="inlineStr">
        <is>
          <t>OPEX</t>
        </is>
      </c>
      <c r="F134" s="12" t="inlineStr">
        <is>
          <t>Operating Expenses</t>
        </is>
      </c>
      <c r="G134" s="12" t="inlineStr">
        <is>
          <t>RENT</t>
        </is>
      </c>
      <c r="H134" s="12" t="inlineStr">
        <is>
          <t>Rent and Facilities</t>
        </is>
      </c>
      <c r="I134" s="13" t="n">
        <v>10637</v>
      </c>
    </row>
    <row r="135">
      <c r="A135" s="12" t="n">
        <v>4</v>
      </c>
      <c r="B135" s="12" t="inlineStr">
        <is>
          <t>Apr</t>
        </is>
      </c>
      <c r="C135" s="12" t="inlineStr">
        <is>
          <t>CHANNEL</t>
        </is>
      </c>
      <c r="D135" s="12" t="inlineStr">
        <is>
          <t>Distributor Channel</t>
        </is>
      </c>
      <c r="E135" s="12" t="inlineStr">
        <is>
          <t>OPEX</t>
        </is>
      </c>
      <c r="F135" s="12" t="inlineStr">
        <is>
          <t>Operating Expenses</t>
        </is>
      </c>
      <c r="G135" s="12" t="inlineStr">
        <is>
          <t>RENT</t>
        </is>
      </c>
      <c r="H135" s="12" t="inlineStr">
        <is>
          <t>Rent and Facilities</t>
        </is>
      </c>
      <c r="I135" s="13" t="n">
        <v>10324</v>
      </c>
    </row>
    <row r="136">
      <c r="A136" s="12" t="n">
        <v>4</v>
      </c>
      <c r="B136" s="12" t="inlineStr">
        <is>
          <t>Apr</t>
        </is>
      </c>
      <c r="C136" s="12" t="inlineStr">
        <is>
          <t>SERVICE</t>
        </is>
      </c>
      <c r="D136" s="12" t="inlineStr">
        <is>
          <t>Service and Support</t>
        </is>
      </c>
      <c r="E136" s="12" t="inlineStr">
        <is>
          <t>OPEX</t>
        </is>
      </c>
      <c r="F136" s="12" t="inlineStr">
        <is>
          <t>Operating Expenses</t>
        </is>
      </c>
      <c r="G136" s="12" t="inlineStr">
        <is>
          <t>RENT</t>
        </is>
      </c>
      <c r="H136" s="12" t="inlineStr">
        <is>
          <t>Rent and Facilities</t>
        </is>
      </c>
      <c r="I136" s="13" t="n">
        <v>10324</v>
      </c>
    </row>
    <row r="137">
      <c r="A137" s="12" t="n">
        <v>4</v>
      </c>
      <c r="B137" s="12" t="inlineStr">
        <is>
          <t>Apr</t>
        </is>
      </c>
      <c r="C137" s="12" t="inlineStr">
        <is>
          <t>SALES</t>
        </is>
      </c>
      <c r="D137" s="12" t="inlineStr">
        <is>
          <t>Direct Sales</t>
        </is>
      </c>
      <c r="E137" s="12" t="inlineStr">
        <is>
          <t>OPEX</t>
        </is>
      </c>
      <c r="F137" s="12" t="inlineStr">
        <is>
          <t>Operating Expenses</t>
        </is>
      </c>
      <c r="G137" s="12" t="inlineStr">
        <is>
          <t>VEHICLE</t>
        </is>
      </c>
      <c r="H137" s="12" t="inlineStr">
        <is>
          <t>Vehicle</t>
        </is>
      </c>
      <c r="I137" s="13" t="n">
        <v>9298</v>
      </c>
    </row>
    <row r="138">
      <c r="A138" s="12" t="n">
        <v>4</v>
      </c>
      <c r="B138" s="12" t="inlineStr">
        <is>
          <t>Apr</t>
        </is>
      </c>
      <c r="C138" s="12" t="inlineStr">
        <is>
          <t>CHANNEL</t>
        </is>
      </c>
      <c r="D138" s="12" t="inlineStr">
        <is>
          <t>Distributor Channel</t>
        </is>
      </c>
      <c r="E138" s="12" t="inlineStr">
        <is>
          <t>OPEX</t>
        </is>
      </c>
      <c r="F138" s="12" t="inlineStr">
        <is>
          <t>Operating Expenses</t>
        </is>
      </c>
      <c r="G138" s="12" t="inlineStr">
        <is>
          <t>VEHICLE</t>
        </is>
      </c>
      <c r="H138" s="12" t="inlineStr">
        <is>
          <t>Vehicle</t>
        </is>
      </c>
      <c r="I138" s="13" t="n">
        <v>5072</v>
      </c>
    </row>
    <row r="139">
      <c r="A139" s="12" t="n">
        <v>4</v>
      </c>
      <c r="B139" s="12" t="inlineStr">
        <is>
          <t>Apr</t>
        </is>
      </c>
      <c r="C139" s="12" t="inlineStr">
        <is>
          <t>SERVICE</t>
        </is>
      </c>
      <c r="D139" s="12" t="inlineStr">
        <is>
          <t>Service and Support</t>
        </is>
      </c>
      <c r="E139" s="12" t="inlineStr">
        <is>
          <t>OPEX</t>
        </is>
      </c>
      <c r="F139" s="12" t="inlineStr">
        <is>
          <t>Operating Expenses</t>
        </is>
      </c>
      <c r="G139" s="12" t="inlineStr">
        <is>
          <t>VEHICLE</t>
        </is>
      </c>
      <c r="H139" s="12" t="inlineStr">
        <is>
          <t>Vehicle</t>
        </is>
      </c>
      <c r="I139" s="13" t="n">
        <v>2536</v>
      </c>
    </row>
    <row r="140">
      <c r="A140" s="12" t="n">
        <v>4</v>
      </c>
      <c r="B140" s="12" t="inlineStr">
        <is>
          <t>Apr</t>
        </is>
      </c>
      <c r="C140" s="12" t="inlineStr">
        <is>
          <t>SALES</t>
        </is>
      </c>
      <c r="D140" s="12" t="inlineStr">
        <is>
          <t>Direct Sales</t>
        </is>
      </c>
      <c r="E140" s="12" t="inlineStr">
        <is>
          <t>OPEX</t>
        </is>
      </c>
      <c r="F140" s="12" t="inlineStr">
        <is>
          <t>Operating Expenses</t>
        </is>
      </c>
      <c r="G140" s="12" t="inlineStr">
        <is>
          <t>MARKETING</t>
        </is>
      </c>
      <c r="H140" s="12" t="inlineStr">
        <is>
          <t>Marketing</t>
        </is>
      </c>
      <c r="I140" s="13" t="n">
        <v>14339</v>
      </c>
    </row>
    <row r="141">
      <c r="A141" s="12" t="n">
        <v>4</v>
      </c>
      <c r="B141" s="12" t="inlineStr">
        <is>
          <t>Apr</t>
        </is>
      </c>
      <c r="C141" s="12" t="inlineStr">
        <is>
          <t>CHANNEL</t>
        </is>
      </c>
      <c r="D141" s="12" t="inlineStr">
        <is>
          <t>Distributor Channel</t>
        </is>
      </c>
      <c r="E141" s="12" t="inlineStr">
        <is>
          <t>OPEX</t>
        </is>
      </c>
      <c r="F141" s="12" t="inlineStr">
        <is>
          <t>Operating Expenses</t>
        </is>
      </c>
      <c r="G141" s="12" t="inlineStr">
        <is>
          <t>MARKETING</t>
        </is>
      </c>
      <c r="H141" s="12" t="inlineStr">
        <is>
          <t>Marketing</t>
        </is>
      </c>
      <c r="I141" s="13" t="n">
        <v>7821</v>
      </c>
    </row>
    <row r="142">
      <c r="A142" s="12" t="n">
        <v>4</v>
      </c>
      <c r="B142" s="12" t="inlineStr">
        <is>
          <t>Apr</t>
        </is>
      </c>
      <c r="C142" s="12" t="inlineStr">
        <is>
          <t>SERVICE</t>
        </is>
      </c>
      <c r="D142" s="12" t="inlineStr">
        <is>
          <t>Service and Support</t>
        </is>
      </c>
      <c r="E142" s="12" t="inlineStr">
        <is>
          <t>OPEX</t>
        </is>
      </c>
      <c r="F142" s="12" t="inlineStr">
        <is>
          <t>Operating Expenses</t>
        </is>
      </c>
      <c r="G142" s="12" t="inlineStr">
        <is>
          <t>MARKETING</t>
        </is>
      </c>
      <c r="H142" s="12" t="inlineStr">
        <is>
          <t>Marketing</t>
        </is>
      </c>
      <c r="I142" s="13" t="n">
        <v>3910</v>
      </c>
    </row>
    <row r="143">
      <c r="A143" s="12" t="n">
        <v>4</v>
      </c>
      <c r="B143" s="12" t="inlineStr">
        <is>
          <t>Apr</t>
        </is>
      </c>
      <c r="C143" s="12" t="inlineStr">
        <is>
          <t>SALES</t>
        </is>
      </c>
      <c r="D143" s="12" t="inlineStr">
        <is>
          <t>Direct Sales</t>
        </is>
      </c>
      <c r="E143" s="12" t="inlineStr">
        <is>
          <t>OPEX</t>
        </is>
      </c>
      <c r="F143" s="12" t="inlineStr">
        <is>
          <t>Operating Expenses</t>
        </is>
      </c>
      <c r="G143" s="12" t="inlineStr">
        <is>
          <t>ENTERTAIN</t>
        </is>
      </c>
      <c r="H143" s="12" t="inlineStr">
        <is>
          <t>Entertainment</t>
        </is>
      </c>
      <c r="I143" s="13" t="n">
        <v>2086</v>
      </c>
    </row>
    <row r="144">
      <c r="A144" s="12" t="n">
        <v>4</v>
      </c>
      <c r="B144" s="12" t="inlineStr">
        <is>
          <t>Apr</t>
        </is>
      </c>
      <c r="C144" s="12" t="inlineStr">
        <is>
          <t>CHANNEL</t>
        </is>
      </c>
      <c r="D144" s="12" t="inlineStr">
        <is>
          <t>Distributor Channel</t>
        </is>
      </c>
      <c r="E144" s="12" t="inlineStr">
        <is>
          <t>OPEX</t>
        </is>
      </c>
      <c r="F144" s="12" t="inlineStr">
        <is>
          <t>Operating Expenses</t>
        </is>
      </c>
      <c r="G144" s="12" t="inlineStr">
        <is>
          <t>ENTERTAIN</t>
        </is>
      </c>
      <c r="H144" s="12" t="inlineStr">
        <is>
          <t>Entertainment</t>
        </is>
      </c>
      <c r="I144" s="13" t="n">
        <v>1138</v>
      </c>
    </row>
    <row r="145">
      <c r="A145" s="12" t="n">
        <v>4</v>
      </c>
      <c r="B145" s="12" t="inlineStr">
        <is>
          <t>Apr</t>
        </is>
      </c>
      <c r="C145" s="12" t="inlineStr">
        <is>
          <t>SERVICE</t>
        </is>
      </c>
      <c r="D145" s="12" t="inlineStr">
        <is>
          <t>Service and Support</t>
        </is>
      </c>
      <c r="E145" s="12" t="inlineStr">
        <is>
          <t>OPEX</t>
        </is>
      </c>
      <c r="F145" s="12" t="inlineStr">
        <is>
          <t>Operating Expenses</t>
        </is>
      </c>
      <c r="G145" s="12" t="inlineStr">
        <is>
          <t>ENTERTAIN</t>
        </is>
      </c>
      <c r="H145" s="12" t="inlineStr">
        <is>
          <t>Entertainment</t>
        </is>
      </c>
      <c r="I145" s="13" t="n">
        <v>569</v>
      </c>
    </row>
    <row r="146">
      <c r="A146" s="12" t="n">
        <v>4</v>
      </c>
      <c r="B146" s="12" t="inlineStr">
        <is>
          <t>Apr</t>
        </is>
      </c>
      <c r="C146" s="12" t="inlineStr">
        <is>
          <t>SALES</t>
        </is>
      </c>
      <c r="D146" s="12" t="inlineStr">
        <is>
          <t>Direct Sales</t>
        </is>
      </c>
      <c r="E146" s="12" t="inlineStr">
        <is>
          <t>OPEX</t>
        </is>
      </c>
      <c r="F146" s="12" t="inlineStr">
        <is>
          <t>Operating Expenses</t>
        </is>
      </c>
      <c r="G146" s="12" t="inlineStr">
        <is>
          <t>OFFICE</t>
        </is>
      </c>
      <c r="H146" s="12" t="inlineStr">
        <is>
          <t>Office</t>
        </is>
      </c>
      <c r="I146" s="13" t="n">
        <v>5475</v>
      </c>
    </row>
    <row r="147">
      <c r="A147" s="12" t="n">
        <v>4</v>
      </c>
      <c r="B147" s="12" t="inlineStr">
        <is>
          <t>Apr</t>
        </is>
      </c>
      <c r="C147" s="12" t="inlineStr">
        <is>
          <t>CHANNEL</t>
        </is>
      </c>
      <c r="D147" s="12" t="inlineStr">
        <is>
          <t>Distributor Channel</t>
        </is>
      </c>
      <c r="E147" s="12" t="inlineStr">
        <is>
          <t>OPEX</t>
        </is>
      </c>
      <c r="F147" s="12" t="inlineStr">
        <is>
          <t>Operating Expenses</t>
        </is>
      </c>
      <c r="G147" s="12" t="inlineStr">
        <is>
          <t>OFFICE</t>
        </is>
      </c>
      <c r="H147" s="12" t="inlineStr">
        <is>
          <t>Office</t>
        </is>
      </c>
      <c r="I147" s="13" t="n">
        <v>2986</v>
      </c>
    </row>
    <row r="148">
      <c r="A148" s="12" t="n">
        <v>4</v>
      </c>
      <c r="B148" s="12" t="inlineStr">
        <is>
          <t>Apr</t>
        </is>
      </c>
      <c r="C148" s="12" t="inlineStr">
        <is>
          <t>SERVICE</t>
        </is>
      </c>
      <c r="D148" s="12" t="inlineStr">
        <is>
          <t>Service and Support</t>
        </is>
      </c>
      <c r="E148" s="12" t="inlineStr">
        <is>
          <t>OPEX</t>
        </is>
      </c>
      <c r="F148" s="12" t="inlineStr">
        <is>
          <t>Operating Expenses</t>
        </is>
      </c>
      <c r="G148" s="12" t="inlineStr">
        <is>
          <t>OFFICE</t>
        </is>
      </c>
      <c r="H148" s="12" t="inlineStr">
        <is>
          <t>Office</t>
        </is>
      </c>
      <c r="I148" s="13" t="n">
        <v>1493</v>
      </c>
    </row>
    <row r="149">
      <c r="A149" s="12" t="n">
        <v>4</v>
      </c>
      <c r="B149" s="12" t="inlineStr">
        <is>
          <t>Apr</t>
        </is>
      </c>
      <c r="C149" s="12" t="inlineStr">
        <is>
          <t>SALES</t>
        </is>
      </c>
      <c r="D149" s="12" t="inlineStr">
        <is>
          <t>Direct Sales</t>
        </is>
      </c>
      <c r="E149" s="12" t="inlineStr">
        <is>
          <t>OPEX</t>
        </is>
      </c>
      <c r="F149" s="12" t="inlineStr">
        <is>
          <t>Operating Expenses</t>
        </is>
      </c>
      <c r="G149" s="12" t="inlineStr">
        <is>
          <t>MERCHANT</t>
        </is>
      </c>
      <c r="H149" s="12" t="inlineStr">
        <is>
          <t>Merchant Fees</t>
        </is>
      </c>
      <c r="I149" s="13" t="n">
        <v>6604</v>
      </c>
    </row>
    <row r="150">
      <c r="A150" s="12" t="n">
        <v>4</v>
      </c>
      <c r="B150" s="12" t="inlineStr">
        <is>
          <t>Apr</t>
        </is>
      </c>
      <c r="C150" s="12" t="inlineStr">
        <is>
          <t>CHANNEL</t>
        </is>
      </c>
      <c r="D150" s="12" t="inlineStr">
        <is>
          <t>Distributor Channel</t>
        </is>
      </c>
      <c r="E150" s="12" t="inlineStr">
        <is>
          <t>OPEX</t>
        </is>
      </c>
      <c r="F150" s="12" t="inlineStr">
        <is>
          <t>Operating Expenses</t>
        </is>
      </c>
      <c r="G150" s="12" t="inlineStr">
        <is>
          <t>MERCHANT</t>
        </is>
      </c>
      <c r="H150" s="12" t="inlineStr">
        <is>
          <t>Merchant Fees</t>
        </is>
      </c>
      <c r="I150" s="13" t="n">
        <v>3602</v>
      </c>
    </row>
    <row r="151">
      <c r="A151" s="12" t="n">
        <v>4</v>
      </c>
      <c r="B151" s="12" t="inlineStr">
        <is>
          <t>Apr</t>
        </is>
      </c>
      <c r="C151" s="12" t="inlineStr">
        <is>
          <t>SERVICE</t>
        </is>
      </c>
      <c r="D151" s="12" t="inlineStr">
        <is>
          <t>Service and Support</t>
        </is>
      </c>
      <c r="E151" s="12" t="inlineStr">
        <is>
          <t>OPEX</t>
        </is>
      </c>
      <c r="F151" s="12" t="inlineStr">
        <is>
          <t>Operating Expenses</t>
        </is>
      </c>
      <c r="G151" s="12" t="inlineStr">
        <is>
          <t>MERCHANT</t>
        </is>
      </c>
      <c r="H151" s="12" t="inlineStr">
        <is>
          <t>Merchant Fees</t>
        </is>
      </c>
      <c r="I151" s="13" t="n">
        <v>1801</v>
      </c>
    </row>
    <row r="152">
      <c r="A152" s="12" t="n">
        <v>4</v>
      </c>
      <c r="B152" s="12" t="inlineStr">
        <is>
          <t>Apr</t>
        </is>
      </c>
      <c r="C152" s="12" t="inlineStr">
        <is>
          <t>SALES</t>
        </is>
      </c>
      <c r="D152" s="12" t="inlineStr">
        <is>
          <t>Direct Sales</t>
        </is>
      </c>
      <c r="E152" s="12" t="inlineStr">
        <is>
          <t>OPEX</t>
        </is>
      </c>
      <c r="F152" s="12" t="inlineStr">
        <is>
          <t>Operating Expenses</t>
        </is>
      </c>
      <c r="G152" s="12" t="inlineStr">
        <is>
          <t>PROFSVC</t>
        </is>
      </c>
      <c r="H152" s="12" t="inlineStr">
        <is>
          <t>Professional Fees</t>
        </is>
      </c>
      <c r="I152" s="13" t="n">
        <v>5127</v>
      </c>
    </row>
    <row r="153">
      <c r="A153" s="12" t="n">
        <v>4</v>
      </c>
      <c r="B153" s="12" t="inlineStr">
        <is>
          <t>Apr</t>
        </is>
      </c>
      <c r="C153" s="12" t="inlineStr">
        <is>
          <t>CHANNEL</t>
        </is>
      </c>
      <c r="D153" s="12" t="inlineStr">
        <is>
          <t>Distributor Channel</t>
        </is>
      </c>
      <c r="E153" s="12" t="inlineStr">
        <is>
          <t>OPEX</t>
        </is>
      </c>
      <c r="F153" s="12" t="inlineStr">
        <is>
          <t>Operating Expenses</t>
        </is>
      </c>
      <c r="G153" s="12" t="inlineStr">
        <is>
          <t>PROFSVC</t>
        </is>
      </c>
      <c r="H153" s="12" t="inlineStr">
        <is>
          <t>Professional Fees</t>
        </is>
      </c>
      <c r="I153" s="13" t="n">
        <v>2797</v>
      </c>
    </row>
    <row r="154">
      <c r="A154" s="12" t="n">
        <v>4</v>
      </c>
      <c r="B154" s="12" t="inlineStr">
        <is>
          <t>Apr</t>
        </is>
      </c>
      <c r="C154" s="12" t="inlineStr">
        <is>
          <t>SERVICE</t>
        </is>
      </c>
      <c r="D154" s="12" t="inlineStr">
        <is>
          <t>Service and Support</t>
        </is>
      </c>
      <c r="E154" s="12" t="inlineStr">
        <is>
          <t>OPEX</t>
        </is>
      </c>
      <c r="F154" s="12" t="inlineStr">
        <is>
          <t>Operating Expenses</t>
        </is>
      </c>
      <c r="G154" s="12" t="inlineStr">
        <is>
          <t>PROFSVC</t>
        </is>
      </c>
      <c r="H154" s="12" t="inlineStr">
        <is>
          <t>Professional Fees</t>
        </is>
      </c>
      <c r="I154" s="13" t="n">
        <v>1398</v>
      </c>
    </row>
    <row r="155">
      <c r="A155" s="12" t="n">
        <v>4</v>
      </c>
      <c r="B155" s="12" t="inlineStr">
        <is>
          <t>Apr</t>
        </is>
      </c>
      <c r="C155" s="12" t="inlineStr">
        <is>
          <t>SALES</t>
        </is>
      </c>
      <c r="D155" s="12" t="inlineStr">
        <is>
          <t>Direct Sales</t>
        </is>
      </c>
      <c r="E155" s="12" t="inlineStr">
        <is>
          <t>OPEX</t>
        </is>
      </c>
      <c r="F155" s="12" t="inlineStr">
        <is>
          <t>Operating Expenses</t>
        </is>
      </c>
      <c r="G155" s="12" t="inlineStr">
        <is>
          <t>DEPREC</t>
        </is>
      </c>
      <c r="H155" s="12" t="inlineStr">
        <is>
          <t>Depreciation</t>
        </is>
      </c>
      <c r="I155" s="13" t="n">
        <v>4835</v>
      </c>
    </row>
    <row r="156">
      <c r="A156" s="12" t="n">
        <v>4</v>
      </c>
      <c r="B156" s="12" t="inlineStr">
        <is>
          <t>Apr</t>
        </is>
      </c>
      <c r="C156" s="12" t="inlineStr">
        <is>
          <t>CHANNEL</t>
        </is>
      </c>
      <c r="D156" s="12" t="inlineStr">
        <is>
          <t>Distributor Channel</t>
        </is>
      </c>
      <c r="E156" s="12" t="inlineStr">
        <is>
          <t>OPEX</t>
        </is>
      </c>
      <c r="F156" s="12" t="inlineStr">
        <is>
          <t>Operating Expenses</t>
        </is>
      </c>
      <c r="G156" s="12" t="inlineStr">
        <is>
          <t>DEPREC</t>
        </is>
      </c>
      <c r="H156" s="12" t="inlineStr">
        <is>
          <t>Depreciation</t>
        </is>
      </c>
      <c r="I156" s="13" t="n">
        <v>4693</v>
      </c>
    </row>
    <row r="157">
      <c r="A157" s="12" t="n">
        <v>4</v>
      </c>
      <c r="B157" s="12" t="inlineStr">
        <is>
          <t>Apr</t>
        </is>
      </c>
      <c r="C157" s="12" t="inlineStr">
        <is>
          <t>SERVICE</t>
        </is>
      </c>
      <c r="D157" s="12" t="inlineStr">
        <is>
          <t>Service and Support</t>
        </is>
      </c>
      <c r="E157" s="12" t="inlineStr">
        <is>
          <t>OPEX</t>
        </is>
      </c>
      <c r="F157" s="12" t="inlineStr">
        <is>
          <t>Operating Expenses</t>
        </is>
      </c>
      <c r="G157" s="12" t="inlineStr">
        <is>
          <t>DEPREC</t>
        </is>
      </c>
      <c r="H157" s="12" t="inlineStr">
        <is>
          <t>Depreciation</t>
        </is>
      </c>
      <c r="I157" s="13" t="n">
        <v>4693</v>
      </c>
    </row>
    <row r="158">
      <c r="A158" s="12" t="n">
        <v>4</v>
      </c>
      <c r="B158" s="12" t="inlineStr">
        <is>
          <t>Apr</t>
        </is>
      </c>
      <c r="C158" s="12" t="inlineStr">
        <is>
          <t>SALES</t>
        </is>
      </c>
      <c r="D158" s="12" t="inlineStr">
        <is>
          <t>Direct Sales</t>
        </is>
      </c>
      <c r="E158" s="12" t="inlineStr">
        <is>
          <t>OPEX</t>
        </is>
      </c>
      <c r="F158" s="12" t="inlineStr">
        <is>
          <t>Operating Expenses</t>
        </is>
      </c>
      <c r="G158" s="12" t="inlineStr">
        <is>
          <t>FINANCE</t>
        </is>
      </c>
      <c r="H158" s="12" t="inlineStr">
        <is>
          <t>Finance Costs</t>
        </is>
      </c>
      <c r="I158" s="13" t="n">
        <v>2579</v>
      </c>
    </row>
    <row r="159">
      <c r="A159" s="12" t="n">
        <v>4</v>
      </c>
      <c r="B159" s="12" t="inlineStr">
        <is>
          <t>Apr</t>
        </is>
      </c>
      <c r="C159" s="12" t="inlineStr">
        <is>
          <t>CHANNEL</t>
        </is>
      </c>
      <c r="D159" s="12" t="inlineStr">
        <is>
          <t>Distributor Channel</t>
        </is>
      </c>
      <c r="E159" s="12" t="inlineStr">
        <is>
          <t>OPEX</t>
        </is>
      </c>
      <c r="F159" s="12" t="inlineStr">
        <is>
          <t>Operating Expenses</t>
        </is>
      </c>
      <c r="G159" s="12" t="inlineStr">
        <is>
          <t>FINANCE</t>
        </is>
      </c>
      <c r="H159" s="12" t="inlineStr">
        <is>
          <t>Finance Costs</t>
        </is>
      </c>
      <c r="I159" s="13" t="n">
        <v>2503</v>
      </c>
    </row>
    <row r="160">
      <c r="A160" s="12" t="n">
        <v>4</v>
      </c>
      <c r="B160" s="12" t="inlineStr">
        <is>
          <t>Apr</t>
        </is>
      </c>
      <c r="C160" s="12" t="inlineStr">
        <is>
          <t>SERVICE</t>
        </is>
      </c>
      <c r="D160" s="12" t="inlineStr">
        <is>
          <t>Service and Support</t>
        </is>
      </c>
      <c r="E160" s="12" t="inlineStr">
        <is>
          <t>OPEX</t>
        </is>
      </c>
      <c r="F160" s="12" t="inlineStr">
        <is>
          <t>Operating Expenses</t>
        </is>
      </c>
      <c r="G160" s="12" t="inlineStr">
        <is>
          <t>FINANCE</t>
        </is>
      </c>
      <c r="H160" s="12" t="inlineStr">
        <is>
          <t>Finance Costs</t>
        </is>
      </c>
      <c r="I160" s="13" t="n">
        <v>2503</v>
      </c>
    </row>
    <row r="161">
      <c r="A161" s="12" t="n">
        <v>5</v>
      </c>
      <c r="B161" s="12" t="inlineStr">
        <is>
          <t>May</t>
        </is>
      </c>
      <c r="C161" s="12" t="inlineStr">
        <is>
          <t>SALES</t>
        </is>
      </c>
      <c r="D161" s="12" t="inlineStr">
        <is>
          <t>Direct Sales</t>
        </is>
      </c>
      <c r="E161" s="12" t="inlineStr">
        <is>
          <t>REVENUE</t>
        </is>
      </c>
      <c r="F161" s="12" t="inlineStr">
        <is>
          <t>Revenue</t>
        </is>
      </c>
      <c r="G161" s="12" t="inlineStr">
        <is>
          <t>REVENUE_PROD</t>
        </is>
      </c>
      <c r="H161" s="12" t="inlineStr">
        <is>
          <t>Product Revenue</t>
        </is>
      </c>
      <c r="I161" s="13" t="n">
        <v>566060</v>
      </c>
    </row>
    <row r="162">
      <c r="A162" s="12" t="n">
        <v>5</v>
      </c>
      <c r="B162" s="12" t="inlineStr">
        <is>
          <t>May</t>
        </is>
      </c>
      <c r="C162" s="12" t="inlineStr">
        <is>
          <t>CHANNEL</t>
        </is>
      </c>
      <c r="D162" s="12" t="inlineStr">
        <is>
          <t>Distributor Channel</t>
        </is>
      </c>
      <c r="E162" s="12" t="inlineStr">
        <is>
          <t>REVENUE</t>
        </is>
      </c>
      <c r="F162" s="12" t="inlineStr">
        <is>
          <t>Revenue</t>
        </is>
      </c>
      <c r="G162" s="12" t="inlineStr">
        <is>
          <t>REVENUE_PROD</t>
        </is>
      </c>
      <c r="H162" s="12" t="inlineStr">
        <is>
          <t>Product Revenue</t>
        </is>
      </c>
      <c r="I162" s="13" t="n">
        <v>308760</v>
      </c>
    </row>
    <row r="163">
      <c r="A163" s="12" t="n">
        <v>5</v>
      </c>
      <c r="B163" s="12" t="inlineStr">
        <is>
          <t>May</t>
        </is>
      </c>
      <c r="C163" s="12" t="inlineStr">
        <is>
          <t>SERVICE</t>
        </is>
      </c>
      <c r="D163" s="12" t="inlineStr">
        <is>
          <t>Service and Support</t>
        </is>
      </c>
      <c r="E163" s="12" t="inlineStr">
        <is>
          <t>REVENUE</t>
        </is>
      </c>
      <c r="F163" s="12" t="inlineStr">
        <is>
          <t>Revenue</t>
        </is>
      </c>
      <c r="G163" s="12" t="inlineStr">
        <is>
          <t>REVENUE_PROD</t>
        </is>
      </c>
      <c r="H163" s="12" t="inlineStr">
        <is>
          <t>Product Revenue</t>
        </is>
      </c>
      <c r="I163" s="13" t="n">
        <v>154380</v>
      </c>
    </row>
    <row r="164">
      <c r="A164" s="12" t="n">
        <v>5</v>
      </c>
      <c r="B164" s="12" t="inlineStr">
        <is>
          <t>May</t>
        </is>
      </c>
      <c r="C164" s="12" t="inlineStr">
        <is>
          <t>SALES</t>
        </is>
      </c>
      <c r="D164" s="12" t="inlineStr">
        <is>
          <t>Direct Sales</t>
        </is>
      </c>
      <c r="E164" s="12" t="inlineStr">
        <is>
          <t>REVENUE</t>
        </is>
      </c>
      <c r="F164" s="12" t="inlineStr">
        <is>
          <t>Revenue</t>
        </is>
      </c>
      <c r="G164" s="12" t="inlineStr">
        <is>
          <t>REVENUE_SVC</t>
        </is>
      </c>
      <c r="H164" s="12" t="inlineStr">
        <is>
          <t>Service Revenue</t>
        </is>
      </c>
      <c r="I164" s="13" t="n">
        <v>4772</v>
      </c>
    </row>
    <row r="165">
      <c r="A165" s="12" t="n">
        <v>5</v>
      </c>
      <c r="B165" s="12" t="inlineStr">
        <is>
          <t>May</t>
        </is>
      </c>
      <c r="C165" s="12" t="inlineStr">
        <is>
          <t>CHANNEL</t>
        </is>
      </c>
      <c r="D165" s="12" t="inlineStr">
        <is>
          <t>Distributor Channel</t>
        </is>
      </c>
      <c r="E165" s="12" t="inlineStr">
        <is>
          <t>REVENUE</t>
        </is>
      </c>
      <c r="F165" s="12" t="inlineStr">
        <is>
          <t>Revenue</t>
        </is>
      </c>
      <c r="G165" s="12" t="inlineStr">
        <is>
          <t>REVENUE_SVC</t>
        </is>
      </c>
      <c r="H165" s="12" t="inlineStr">
        <is>
          <t>Service Revenue</t>
        </is>
      </c>
      <c r="I165" s="13" t="n">
        <v>4772</v>
      </c>
    </row>
    <row r="166">
      <c r="A166" s="12" t="n">
        <v>5</v>
      </c>
      <c r="B166" s="12" t="inlineStr">
        <is>
          <t>May</t>
        </is>
      </c>
      <c r="C166" s="12" t="inlineStr">
        <is>
          <t>SERVICE</t>
        </is>
      </c>
      <c r="D166" s="12" t="inlineStr">
        <is>
          <t>Service and Support</t>
        </is>
      </c>
      <c r="E166" s="12" t="inlineStr">
        <is>
          <t>REVENUE</t>
        </is>
      </c>
      <c r="F166" s="12" t="inlineStr">
        <is>
          <t>Revenue</t>
        </is>
      </c>
      <c r="G166" s="12" t="inlineStr">
        <is>
          <t>REVENUE_SVC</t>
        </is>
      </c>
      <c r="H166" s="12" t="inlineStr">
        <is>
          <t>Service Revenue</t>
        </is>
      </c>
      <c r="I166" s="13" t="n">
        <v>85905</v>
      </c>
    </row>
    <row r="167">
      <c r="A167" s="12" t="n">
        <v>5</v>
      </c>
      <c r="B167" s="12" t="inlineStr">
        <is>
          <t>May</t>
        </is>
      </c>
      <c r="C167" s="12" t="inlineStr">
        <is>
          <t>SALES</t>
        </is>
      </c>
      <c r="D167" s="12" t="inlineStr">
        <is>
          <t>Direct Sales</t>
        </is>
      </c>
      <c r="E167" s="12" t="inlineStr">
        <is>
          <t>COGS</t>
        </is>
      </c>
      <c r="F167" s="12" t="inlineStr">
        <is>
          <t>Cost of Sales</t>
        </is>
      </c>
      <c r="G167" s="12" t="inlineStr">
        <is>
          <t>COGS</t>
        </is>
      </c>
      <c r="H167" s="12" t="inlineStr">
        <is>
          <t>Cost of Goods Sold</t>
        </is>
      </c>
      <c r="I167" s="13" t="n">
        <v>367939</v>
      </c>
    </row>
    <row r="168">
      <c r="A168" s="12" t="n">
        <v>5</v>
      </c>
      <c r="B168" s="12" t="inlineStr">
        <is>
          <t>May</t>
        </is>
      </c>
      <c r="C168" s="12" t="inlineStr">
        <is>
          <t>CHANNEL</t>
        </is>
      </c>
      <c r="D168" s="12" t="inlineStr">
        <is>
          <t>Distributor Channel</t>
        </is>
      </c>
      <c r="E168" s="12" t="inlineStr">
        <is>
          <t>COGS</t>
        </is>
      </c>
      <c r="F168" s="12" t="inlineStr">
        <is>
          <t>Cost of Sales</t>
        </is>
      </c>
      <c r="G168" s="12" t="inlineStr">
        <is>
          <t>COGS</t>
        </is>
      </c>
      <c r="H168" s="12" t="inlineStr">
        <is>
          <t>Cost of Goods Sold</t>
        </is>
      </c>
      <c r="I168" s="13" t="n">
        <v>200694</v>
      </c>
    </row>
    <row r="169">
      <c r="A169" s="12" t="n">
        <v>5</v>
      </c>
      <c r="B169" s="12" t="inlineStr">
        <is>
          <t>May</t>
        </is>
      </c>
      <c r="C169" s="12" t="inlineStr">
        <is>
          <t>SERVICE</t>
        </is>
      </c>
      <c r="D169" s="12" t="inlineStr">
        <is>
          <t>Service and Support</t>
        </is>
      </c>
      <c r="E169" s="12" t="inlineStr">
        <is>
          <t>COGS</t>
        </is>
      </c>
      <c r="F169" s="12" t="inlineStr">
        <is>
          <t>Cost of Sales</t>
        </is>
      </c>
      <c r="G169" s="12" t="inlineStr">
        <is>
          <t>COGS</t>
        </is>
      </c>
      <c r="H169" s="12" t="inlineStr">
        <is>
          <t>Cost of Goods Sold</t>
        </is>
      </c>
      <c r="I169" s="13" t="n">
        <v>100347</v>
      </c>
    </row>
    <row r="170">
      <c r="A170" s="12" t="n">
        <v>5</v>
      </c>
      <c r="B170" s="12" t="inlineStr">
        <is>
          <t>May</t>
        </is>
      </c>
      <c r="C170" s="12" t="inlineStr">
        <is>
          <t>SALES</t>
        </is>
      </c>
      <c r="D170" s="12" t="inlineStr">
        <is>
          <t>Direct Sales</t>
        </is>
      </c>
      <c r="E170" s="12" t="inlineStr">
        <is>
          <t>OPEX</t>
        </is>
      </c>
      <c r="F170" s="12" t="inlineStr">
        <is>
          <t>Operating Expenses</t>
        </is>
      </c>
      <c r="G170" s="12" t="inlineStr">
        <is>
          <t>SALARY</t>
        </is>
      </c>
      <c r="H170" s="12" t="inlineStr">
        <is>
          <t>Payroll</t>
        </is>
      </c>
      <c r="I170" s="13" t="n">
        <v>93583</v>
      </c>
    </row>
    <row r="171">
      <c r="A171" s="12" t="n">
        <v>5</v>
      </c>
      <c r="B171" s="12" t="inlineStr">
        <is>
          <t>May</t>
        </is>
      </c>
      <c r="C171" s="12" t="inlineStr">
        <is>
          <t>CHANNEL</t>
        </is>
      </c>
      <c r="D171" s="12" t="inlineStr">
        <is>
          <t>Distributor Channel</t>
        </is>
      </c>
      <c r="E171" s="12" t="inlineStr">
        <is>
          <t>OPEX</t>
        </is>
      </c>
      <c r="F171" s="12" t="inlineStr">
        <is>
          <t>Operating Expenses</t>
        </is>
      </c>
      <c r="G171" s="12" t="inlineStr">
        <is>
          <t>SALARY</t>
        </is>
      </c>
      <c r="H171" s="12" t="inlineStr">
        <is>
          <t>Payroll</t>
        </is>
      </c>
      <c r="I171" s="13" t="n">
        <v>51045</v>
      </c>
    </row>
    <row r="172">
      <c r="A172" s="12" t="n">
        <v>5</v>
      </c>
      <c r="B172" s="12" t="inlineStr">
        <is>
          <t>May</t>
        </is>
      </c>
      <c r="C172" s="12" t="inlineStr">
        <is>
          <t>SERVICE</t>
        </is>
      </c>
      <c r="D172" s="12" t="inlineStr">
        <is>
          <t>Service and Support</t>
        </is>
      </c>
      <c r="E172" s="12" t="inlineStr">
        <is>
          <t>OPEX</t>
        </is>
      </c>
      <c r="F172" s="12" t="inlineStr">
        <is>
          <t>Operating Expenses</t>
        </is>
      </c>
      <c r="G172" s="12" t="inlineStr">
        <is>
          <t>SALARY</t>
        </is>
      </c>
      <c r="H172" s="12" t="inlineStr">
        <is>
          <t>Payroll</t>
        </is>
      </c>
      <c r="I172" s="13" t="n">
        <v>25522</v>
      </c>
    </row>
    <row r="173">
      <c r="A173" s="12" t="n">
        <v>5</v>
      </c>
      <c r="B173" s="12" t="inlineStr">
        <is>
          <t>May</t>
        </is>
      </c>
      <c r="C173" s="12" t="inlineStr">
        <is>
          <t>SALES</t>
        </is>
      </c>
      <c r="D173" s="12" t="inlineStr">
        <is>
          <t>Direct Sales</t>
        </is>
      </c>
      <c r="E173" s="12" t="inlineStr">
        <is>
          <t>OPEX</t>
        </is>
      </c>
      <c r="F173" s="12" t="inlineStr">
        <is>
          <t>Operating Expenses</t>
        </is>
      </c>
      <c r="G173" s="12" t="inlineStr">
        <is>
          <t>RENT</t>
        </is>
      </c>
      <c r="H173" s="12" t="inlineStr">
        <is>
          <t>Rent and Facilities</t>
        </is>
      </c>
      <c r="I173" s="13" t="n">
        <v>11175</v>
      </c>
    </row>
    <row r="174">
      <c r="A174" s="12" t="n">
        <v>5</v>
      </c>
      <c r="B174" s="12" t="inlineStr">
        <is>
          <t>May</t>
        </is>
      </c>
      <c r="C174" s="12" t="inlineStr">
        <is>
          <t>CHANNEL</t>
        </is>
      </c>
      <c r="D174" s="12" t="inlineStr">
        <is>
          <t>Distributor Channel</t>
        </is>
      </c>
      <c r="E174" s="12" t="inlineStr">
        <is>
          <t>OPEX</t>
        </is>
      </c>
      <c r="F174" s="12" t="inlineStr">
        <is>
          <t>Operating Expenses</t>
        </is>
      </c>
      <c r="G174" s="12" t="inlineStr">
        <is>
          <t>RENT</t>
        </is>
      </c>
      <c r="H174" s="12" t="inlineStr">
        <is>
          <t>Rent and Facilities</t>
        </is>
      </c>
      <c r="I174" s="13" t="n">
        <v>10846</v>
      </c>
    </row>
    <row r="175">
      <c r="A175" s="12" t="n">
        <v>5</v>
      </c>
      <c r="B175" s="12" t="inlineStr">
        <is>
          <t>May</t>
        </is>
      </c>
      <c r="C175" s="12" t="inlineStr">
        <is>
          <t>SERVICE</t>
        </is>
      </c>
      <c r="D175" s="12" t="inlineStr">
        <is>
          <t>Service and Support</t>
        </is>
      </c>
      <c r="E175" s="12" t="inlineStr">
        <is>
          <t>OPEX</t>
        </is>
      </c>
      <c r="F175" s="12" t="inlineStr">
        <is>
          <t>Operating Expenses</t>
        </is>
      </c>
      <c r="G175" s="12" t="inlineStr">
        <is>
          <t>RENT</t>
        </is>
      </c>
      <c r="H175" s="12" t="inlineStr">
        <is>
          <t>Rent and Facilities</t>
        </is>
      </c>
      <c r="I175" s="13" t="n">
        <v>10846</v>
      </c>
    </row>
    <row r="176">
      <c r="A176" s="12" t="n">
        <v>5</v>
      </c>
      <c r="B176" s="12" t="inlineStr">
        <is>
          <t>May</t>
        </is>
      </c>
      <c r="C176" s="12" t="inlineStr">
        <is>
          <t>SALES</t>
        </is>
      </c>
      <c r="D176" s="12" t="inlineStr">
        <is>
          <t>Direct Sales</t>
        </is>
      </c>
      <c r="E176" s="12" t="inlineStr">
        <is>
          <t>OPEX</t>
        </is>
      </c>
      <c r="F176" s="12" t="inlineStr">
        <is>
          <t>Operating Expenses</t>
        </is>
      </c>
      <c r="G176" s="12" t="inlineStr">
        <is>
          <t>VEHICLE</t>
        </is>
      </c>
      <c r="H176" s="12" t="inlineStr">
        <is>
          <t>Vehicle</t>
        </is>
      </c>
      <c r="I176" s="13" t="n">
        <v>9769</v>
      </c>
    </row>
    <row r="177">
      <c r="A177" s="12" t="n">
        <v>5</v>
      </c>
      <c r="B177" s="12" t="inlineStr">
        <is>
          <t>May</t>
        </is>
      </c>
      <c r="C177" s="12" t="inlineStr">
        <is>
          <t>CHANNEL</t>
        </is>
      </c>
      <c r="D177" s="12" t="inlineStr">
        <is>
          <t>Distributor Channel</t>
        </is>
      </c>
      <c r="E177" s="12" t="inlineStr">
        <is>
          <t>OPEX</t>
        </is>
      </c>
      <c r="F177" s="12" t="inlineStr">
        <is>
          <t>Operating Expenses</t>
        </is>
      </c>
      <c r="G177" s="12" t="inlineStr">
        <is>
          <t>VEHICLE</t>
        </is>
      </c>
      <c r="H177" s="12" t="inlineStr">
        <is>
          <t>Vehicle</t>
        </is>
      </c>
      <c r="I177" s="13" t="n">
        <v>5329</v>
      </c>
    </row>
    <row r="178">
      <c r="A178" s="12" t="n">
        <v>5</v>
      </c>
      <c r="B178" s="12" t="inlineStr">
        <is>
          <t>May</t>
        </is>
      </c>
      <c r="C178" s="12" t="inlineStr">
        <is>
          <t>SERVICE</t>
        </is>
      </c>
      <c r="D178" s="12" t="inlineStr">
        <is>
          <t>Service and Support</t>
        </is>
      </c>
      <c r="E178" s="12" t="inlineStr">
        <is>
          <t>OPEX</t>
        </is>
      </c>
      <c r="F178" s="12" t="inlineStr">
        <is>
          <t>Operating Expenses</t>
        </is>
      </c>
      <c r="G178" s="12" t="inlineStr">
        <is>
          <t>VEHICLE</t>
        </is>
      </c>
      <c r="H178" s="12" t="inlineStr">
        <is>
          <t>Vehicle</t>
        </is>
      </c>
      <c r="I178" s="13" t="n">
        <v>2664</v>
      </c>
    </row>
    <row r="179">
      <c r="A179" s="12" t="n">
        <v>5</v>
      </c>
      <c r="B179" s="12" t="inlineStr">
        <is>
          <t>May</t>
        </is>
      </c>
      <c r="C179" s="12" t="inlineStr">
        <is>
          <t>SALES</t>
        </is>
      </c>
      <c r="D179" s="12" t="inlineStr">
        <is>
          <t>Direct Sales</t>
        </is>
      </c>
      <c r="E179" s="12" t="inlineStr">
        <is>
          <t>OPEX</t>
        </is>
      </c>
      <c r="F179" s="12" t="inlineStr">
        <is>
          <t>Operating Expenses</t>
        </is>
      </c>
      <c r="G179" s="12" t="inlineStr">
        <is>
          <t>MARKETING</t>
        </is>
      </c>
      <c r="H179" s="12" t="inlineStr">
        <is>
          <t>Marketing</t>
        </is>
      </c>
      <c r="I179" s="13" t="n">
        <v>15065</v>
      </c>
    </row>
    <row r="180">
      <c r="A180" s="12" t="n">
        <v>5</v>
      </c>
      <c r="B180" s="12" t="inlineStr">
        <is>
          <t>May</t>
        </is>
      </c>
      <c r="C180" s="12" t="inlineStr">
        <is>
          <t>CHANNEL</t>
        </is>
      </c>
      <c r="D180" s="12" t="inlineStr">
        <is>
          <t>Distributor Channel</t>
        </is>
      </c>
      <c r="E180" s="12" t="inlineStr">
        <is>
          <t>OPEX</t>
        </is>
      </c>
      <c r="F180" s="12" t="inlineStr">
        <is>
          <t>Operating Expenses</t>
        </is>
      </c>
      <c r="G180" s="12" t="inlineStr">
        <is>
          <t>MARKETING</t>
        </is>
      </c>
      <c r="H180" s="12" t="inlineStr">
        <is>
          <t>Marketing</t>
        </is>
      </c>
      <c r="I180" s="13" t="n">
        <v>8217</v>
      </c>
    </row>
    <row r="181">
      <c r="A181" s="12" t="n">
        <v>5</v>
      </c>
      <c r="B181" s="12" t="inlineStr">
        <is>
          <t>May</t>
        </is>
      </c>
      <c r="C181" s="12" t="inlineStr">
        <is>
          <t>SERVICE</t>
        </is>
      </c>
      <c r="D181" s="12" t="inlineStr">
        <is>
          <t>Service and Support</t>
        </is>
      </c>
      <c r="E181" s="12" t="inlineStr">
        <is>
          <t>OPEX</t>
        </is>
      </c>
      <c r="F181" s="12" t="inlineStr">
        <is>
          <t>Operating Expenses</t>
        </is>
      </c>
      <c r="G181" s="12" t="inlineStr">
        <is>
          <t>MARKETING</t>
        </is>
      </c>
      <c r="H181" s="12" t="inlineStr">
        <is>
          <t>Marketing</t>
        </is>
      </c>
      <c r="I181" s="13" t="n">
        <v>4108</v>
      </c>
    </row>
    <row r="182">
      <c r="A182" s="12" t="n">
        <v>5</v>
      </c>
      <c r="B182" s="12" t="inlineStr">
        <is>
          <t>May</t>
        </is>
      </c>
      <c r="C182" s="12" t="inlineStr">
        <is>
          <t>SALES</t>
        </is>
      </c>
      <c r="D182" s="12" t="inlineStr">
        <is>
          <t>Direct Sales</t>
        </is>
      </c>
      <c r="E182" s="12" t="inlineStr">
        <is>
          <t>OPEX</t>
        </is>
      </c>
      <c r="F182" s="12" t="inlineStr">
        <is>
          <t>Operating Expenses</t>
        </is>
      </c>
      <c r="G182" s="12" t="inlineStr">
        <is>
          <t>ENTERTAIN</t>
        </is>
      </c>
      <c r="H182" s="12" t="inlineStr">
        <is>
          <t>Entertainment</t>
        </is>
      </c>
      <c r="I182" s="13" t="n">
        <v>2191</v>
      </c>
    </row>
    <row r="183">
      <c r="A183" s="12" t="n">
        <v>5</v>
      </c>
      <c r="B183" s="12" t="inlineStr">
        <is>
          <t>May</t>
        </is>
      </c>
      <c r="C183" s="12" t="inlineStr">
        <is>
          <t>CHANNEL</t>
        </is>
      </c>
      <c r="D183" s="12" t="inlineStr">
        <is>
          <t>Distributor Channel</t>
        </is>
      </c>
      <c r="E183" s="12" t="inlineStr">
        <is>
          <t>OPEX</t>
        </is>
      </c>
      <c r="F183" s="12" t="inlineStr">
        <is>
          <t>Operating Expenses</t>
        </is>
      </c>
      <c r="G183" s="12" t="inlineStr">
        <is>
          <t>ENTERTAIN</t>
        </is>
      </c>
      <c r="H183" s="12" t="inlineStr">
        <is>
          <t>Entertainment</t>
        </is>
      </c>
      <c r="I183" s="13" t="n">
        <v>1195</v>
      </c>
    </row>
    <row r="184">
      <c r="A184" s="12" t="n">
        <v>5</v>
      </c>
      <c r="B184" s="12" t="inlineStr">
        <is>
          <t>May</t>
        </is>
      </c>
      <c r="C184" s="12" t="inlineStr">
        <is>
          <t>SERVICE</t>
        </is>
      </c>
      <c r="D184" s="12" t="inlineStr">
        <is>
          <t>Service and Support</t>
        </is>
      </c>
      <c r="E184" s="12" t="inlineStr">
        <is>
          <t>OPEX</t>
        </is>
      </c>
      <c r="F184" s="12" t="inlineStr">
        <is>
          <t>Operating Expenses</t>
        </is>
      </c>
      <c r="G184" s="12" t="inlineStr">
        <is>
          <t>ENTERTAIN</t>
        </is>
      </c>
      <c r="H184" s="12" t="inlineStr">
        <is>
          <t>Entertainment</t>
        </is>
      </c>
      <c r="I184" s="13" t="n">
        <v>598</v>
      </c>
    </row>
    <row r="185">
      <c r="A185" s="12" t="n">
        <v>5</v>
      </c>
      <c r="B185" s="12" t="inlineStr">
        <is>
          <t>May</t>
        </is>
      </c>
      <c r="C185" s="12" t="inlineStr">
        <is>
          <t>SALES</t>
        </is>
      </c>
      <c r="D185" s="12" t="inlineStr">
        <is>
          <t>Direct Sales</t>
        </is>
      </c>
      <c r="E185" s="12" t="inlineStr">
        <is>
          <t>OPEX</t>
        </is>
      </c>
      <c r="F185" s="12" t="inlineStr">
        <is>
          <t>Operating Expenses</t>
        </is>
      </c>
      <c r="G185" s="12" t="inlineStr">
        <is>
          <t>OFFICE</t>
        </is>
      </c>
      <c r="H185" s="12" t="inlineStr">
        <is>
          <t>Office</t>
        </is>
      </c>
      <c r="I185" s="13" t="n">
        <v>5752</v>
      </c>
    </row>
    <row r="186">
      <c r="A186" s="12" t="n">
        <v>5</v>
      </c>
      <c r="B186" s="12" t="inlineStr">
        <is>
          <t>May</t>
        </is>
      </c>
      <c r="C186" s="12" t="inlineStr">
        <is>
          <t>CHANNEL</t>
        </is>
      </c>
      <c r="D186" s="12" t="inlineStr">
        <is>
          <t>Distributor Channel</t>
        </is>
      </c>
      <c r="E186" s="12" t="inlineStr">
        <is>
          <t>OPEX</t>
        </is>
      </c>
      <c r="F186" s="12" t="inlineStr">
        <is>
          <t>Operating Expenses</t>
        </is>
      </c>
      <c r="G186" s="12" t="inlineStr">
        <is>
          <t>OFFICE</t>
        </is>
      </c>
      <c r="H186" s="12" t="inlineStr">
        <is>
          <t>Office</t>
        </is>
      </c>
      <c r="I186" s="13" t="n">
        <v>3137</v>
      </c>
    </row>
    <row r="187">
      <c r="A187" s="12" t="n">
        <v>5</v>
      </c>
      <c r="B187" s="12" t="inlineStr">
        <is>
          <t>May</t>
        </is>
      </c>
      <c r="C187" s="12" t="inlineStr">
        <is>
          <t>SERVICE</t>
        </is>
      </c>
      <c r="D187" s="12" t="inlineStr">
        <is>
          <t>Service and Support</t>
        </is>
      </c>
      <c r="E187" s="12" t="inlineStr">
        <is>
          <t>OPEX</t>
        </is>
      </c>
      <c r="F187" s="12" t="inlineStr">
        <is>
          <t>Operating Expenses</t>
        </is>
      </c>
      <c r="G187" s="12" t="inlineStr">
        <is>
          <t>OFFICE</t>
        </is>
      </c>
      <c r="H187" s="12" t="inlineStr">
        <is>
          <t>Office</t>
        </is>
      </c>
      <c r="I187" s="13" t="n">
        <v>1569</v>
      </c>
    </row>
    <row r="188">
      <c r="A188" s="12" t="n">
        <v>5</v>
      </c>
      <c r="B188" s="12" t="inlineStr">
        <is>
          <t>May</t>
        </is>
      </c>
      <c r="C188" s="12" t="inlineStr">
        <is>
          <t>SALES</t>
        </is>
      </c>
      <c r="D188" s="12" t="inlineStr">
        <is>
          <t>Direct Sales</t>
        </is>
      </c>
      <c r="E188" s="12" t="inlineStr">
        <is>
          <t>OPEX</t>
        </is>
      </c>
      <c r="F188" s="12" t="inlineStr">
        <is>
          <t>Operating Expenses</t>
        </is>
      </c>
      <c r="G188" s="12" t="inlineStr">
        <is>
          <t>MERCHANT</t>
        </is>
      </c>
      <c r="H188" s="12" t="inlineStr">
        <is>
          <t>Merchant Fees</t>
        </is>
      </c>
      <c r="I188" s="13" t="n">
        <v>6939</v>
      </c>
    </row>
    <row r="189">
      <c r="A189" s="12" t="n">
        <v>5</v>
      </c>
      <c r="B189" s="12" t="inlineStr">
        <is>
          <t>May</t>
        </is>
      </c>
      <c r="C189" s="12" t="inlineStr">
        <is>
          <t>CHANNEL</t>
        </is>
      </c>
      <c r="D189" s="12" t="inlineStr">
        <is>
          <t>Distributor Channel</t>
        </is>
      </c>
      <c r="E189" s="12" t="inlineStr">
        <is>
          <t>OPEX</t>
        </is>
      </c>
      <c r="F189" s="12" t="inlineStr">
        <is>
          <t>Operating Expenses</t>
        </is>
      </c>
      <c r="G189" s="12" t="inlineStr">
        <is>
          <t>MERCHANT</t>
        </is>
      </c>
      <c r="H189" s="12" t="inlineStr">
        <is>
          <t>Merchant Fees</t>
        </is>
      </c>
      <c r="I189" s="13" t="n">
        <v>3785</v>
      </c>
    </row>
    <row r="190">
      <c r="A190" s="12" t="n">
        <v>5</v>
      </c>
      <c r="B190" s="12" t="inlineStr">
        <is>
          <t>May</t>
        </is>
      </c>
      <c r="C190" s="12" t="inlineStr">
        <is>
          <t>SERVICE</t>
        </is>
      </c>
      <c r="D190" s="12" t="inlineStr">
        <is>
          <t>Service and Support</t>
        </is>
      </c>
      <c r="E190" s="12" t="inlineStr">
        <is>
          <t>OPEX</t>
        </is>
      </c>
      <c r="F190" s="12" t="inlineStr">
        <is>
          <t>Operating Expenses</t>
        </is>
      </c>
      <c r="G190" s="12" t="inlineStr">
        <is>
          <t>MERCHANT</t>
        </is>
      </c>
      <c r="H190" s="12" t="inlineStr">
        <is>
          <t>Merchant Fees</t>
        </is>
      </c>
      <c r="I190" s="13" t="n">
        <v>1892</v>
      </c>
    </row>
    <row r="191">
      <c r="A191" s="12" t="n">
        <v>5</v>
      </c>
      <c r="B191" s="12" t="inlineStr">
        <is>
          <t>May</t>
        </is>
      </c>
      <c r="C191" s="12" t="inlineStr">
        <is>
          <t>SALES</t>
        </is>
      </c>
      <c r="D191" s="12" t="inlineStr">
        <is>
          <t>Direct Sales</t>
        </is>
      </c>
      <c r="E191" s="12" t="inlineStr">
        <is>
          <t>OPEX</t>
        </is>
      </c>
      <c r="F191" s="12" t="inlineStr">
        <is>
          <t>Operating Expenses</t>
        </is>
      </c>
      <c r="G191" s="12" t="inlineStr">
        <is>
          <t>PROFSVC</t>
        </is>
      </c>
      <c r="H191" s="12" t="inlineStr">
        <is>
          <t>Professional Fees</t>
        </is>
      </c>
      <c r="I191" s="13" t="n">
        <v>5387</v>
      </c>
    </row>
    <row r="192">
      <c r="A192" s="12" t="n">
        <v>5</v>
      </c>
      <c r="B192" s="12" t="inlineStr">
        <is>
          <t>May</t>
        </is>
      </c>
      <c r="C192" s="12" t="inlineStr">
        <is>
          <t>CHANNEL</t>
        </is>
      </c>
      <c r="D192" s="12" t="inlineStr">
        <is>
          <t>Distributor Channel</t>
        </is>
      </c>
      <c r="E192" s="12" t="inlineStr">
        <is>
          <t>OPEX</t>
        </is>
      </c>
      <c r="F192" s="12" t="inlineStr">
        <is>
          <t>Operating Expenses</t>
        </is>
      </c>
      <c r="G192" s="12" t="inlineStr">
        <is>
          <t>PROFSVC</t>
        </is>
      </c>
      <c r="H192" s="12" t="inlineStr">
        <is>
          <t>Professional Fees</t>
        </is>
      </c>
      <c r="I192" s="13" t="n">
        <v>2938</v>
      </c>
    </row>
    <row r="193">
      <c r="A193" s="12" t="n">
        <v>5</v>
      </c>
      <c r="B193" s="12" t="inlineStr">
        <is>
          <t>May</t>
        </is>
      </c>
      <c r="C193" s="12" t="inlineStr">
        <is>
          <t>SERVICE</t>
        </is>
      </c>
      <c r="D193" s="12" t="inlineStr">
        <is>
          <t>Service and Support</t>
        </is>
      </c>
      <c r="E193" s="12" t="inlineStr">
        <is>
          <t>OPEX</t>
        </is>
      </c>
      <c r="F193" s="12" t="inlineStr">
        <is>
          <t>Operating Expenses</t>
        </is>
      </c>
      <c r="G193" s="12" t="inlineStr">
        <is>
          <t>PROFSVC</t>
        </is>
      </c>
      <c r="H193" s="12" t="inlineStr">
        <is>
          <t>Professional Fees</t>
        </is>
      </c>
      <c r="I193" s="13" t="n">
        <v>1469</v>
      </c>
    </row>
    <row r="194">
      <c r="A194" s="12" t="n">
        <v>5</v>
      </c>
      <c r="B194" s="12" t="inlineStr">
        <is>
          <t>May</t>
        </is>
      </c>
      <c r="C194" s="12" t="inlineStr">
        <is>
          <t>SALES</t>
        </is>
      </c>
      <c r="D194" s="12" t="inlineStr">
        <is>
          <t>Direct Sales</t>
        </is>
      </c>
      <c r="E194" s="12" t="inlineStr">
        <is>
          <t>OPEX</t>
        </is>
      </c>
      <c r="F194" s="12" t="inlineStr">
        <is>
          <t>Operating Expenses</t>
        </is>
      </c>
      <c r="G194" s="12" t="inlineStr">
        <is>
          <t>DEPREC</t>
        </is>
      </c>
      <c r="H194" s="12" t="inlineStr">
        <is>
          <t>Depreciation</t>
        </is>
      </c>
      <c r="I194" s="13" t="n">
        <v>5080</v>
      </c>
    </row>
    <row r="195">
      <c r="A195" s="12" t="n">
        <v>5</v>
      </c>
      <c r="B195" s="12" t="inlineStr">
        <is>
          <t>May</t>
        </is>
      </c>
      <c r="C195" s="12" t="inlineStr">
        <is>
          <t>CHANNEL</t>
        </is>
      </c>
      <c r="D195" s="12" t="inlineStr">
        <is>
          <t>Distributor Channel</t>
        </is>
      </c>
      <c r="E195" s="12" t="inlineStr">
        <is>
          <t>OPEX</t>
        </is>
      </c>
      <c r="F195" s="12" t="inlineStr">
        <is>
          <t>Operating Expenses</t>
        </is>
      </c>
      <c r="G195" s="12" t="inlineStr">
        <is>
          <t>DEPREC</t>
        </is>
      </c>
      <c r="H195" s="12" t="inlineStr">
        <is>
          <t>Depreciation</t>
        </is>
      </c>
      <c r="I195" s="13" t="n">
        <v>4930</v>
      </c>
    </row>
    <row r="196">
      <c r="A196" s="12" t="n">
        <v>5</v>
      </c>
      <c r="B196" s="12" t="inlineStr">
        <is>
          <t>May</t>
        </is>
      </c>
      <c r="C196" s="12" t="inlineStr">
        <is>
          <t>SERVICE</t>
        </is>
      </c>
      <c r="D196" s="12" t="inlineStr">
        <is>
          <t>Service and Support</t>
        </is>
      </c>
      <c r="E196" s="12" t="inlineStr">
        <is>
          <t>OPEX</t>
        </is>
      </c>
      <c r="F196" s="12" t="inlineStr">
        <is>
          <t>Operating Expenses</t>
        </is>
      </c>
      <c r="G196" s="12" t="inlineStr">
        <is>
          <t>DEPREC</t>
        </is>
      </c>
      <c r="H196" s="12" t="inlineStr">
        <is>
          <t>Depreciation</t>
        </is>
      </c>
      <c r="I196" s="13" t="n">
        <v>4930</v>
      </c>
    </row>
    <row r="197">
      <c r="A197" s="12" t="n">
        <v>5</v>
      </c>
      <c r="B197" s="12" t="inlineStr">
        <is>
          <t>May</t>
        </is>
      </c>
      <c r="C197" s="12" t="inlineStr">
        <is>
          <t>SALES</t>
        </is>
      </c>
      <c r="D197" s="12" t="inlineStr">
        <is>
          <t>Direct Sales</t>
        </is>
      </c>
      <c r="E197" s="12" t="inlineStr">
        <is>
          <t>OPEX</t>
        </is>
      </c>
      <c r="F197" s="12" t="inlineStr">
        <is>
          <t>Operating Expenses</t>
        </is>
      </c>
      <c r="G197" s="12" t="inlineStr">
        <is>
          <t>FINANCE</t>
        </is>
      </c>
      <c r="H197" s="12" t="inlineStr">
        <is>
          <t>Finance Costs</t>
        </is>
      </c>
      <c r="I197" s="13" t="n">
        <v>2709</v>
      </c>
    </row>
    <row r="198">
      <c r="A198" s="12" t="n">
        <v>5</v>
      </c>
      <c r="B198" s="12" t="inlineStr">
        <is>
          <t>May</t>
        </is>
      </c>
      <c r="C198" s="12" t="inlineStr">
        <is>
          <t>CHANNEL</t>
        </is>
      </c>
      <c r="D198" s="12" t="inlineStr">
        <is>
          <t>Distributor Channel</t>
        </is>
      </c>
      <c r="E198" s="12" t="inlineStr">
        <is>
          <t>OPEX</t>
        </is>
      </c>
      <c r="F198" s="12" t="inlineStr">
        <is>
          <t>Operating Expenses</t>
        </is>
      </c>
      <c r="G198" s="12" t="inlineStr">
        <is>
          <t>FINANCE</t>
        </is>
      </c>
      <c r="H198" s="12" t="inlineStr">
        <is>
          <t>Finance Costs</t>
        </is>
      </c>
      <c r="I198" s="13" t="n">
        <v>2629</v>
      </c>
    </row>
    <row r="199">
      <c r="A199" s="12" t="n">
        <v>5</v>
      </c>
      <c r="B199" s="12" t="inlineStr">
        <is>
          <t>May</t>
        </is>
      </c>
      <c r="C199" s="12" t="inlineStr">
        <is>
          <t>SERVICE</t>
        </is>
      </c>
      <c r="D199" s="12" t="inlineStr">
        <is>
          <t>Service and Support</t>
        </is>
      </c>
      <c r="E199" s="12" t="inlineStr">
        <is>
          <t>OPEX</t>
        </is>
      </c>
      <c r="F199" s="12" t="inlineStr">
        <is>
          <t>Operating Expenses</t>
        </is>
      </c>
      <c r="G199" s="12" t="inlineStr">
        <is>
          <t>FINANCE</t>
        </is>
      </c>
      <c r="H199" s="12" t="inlineStr">
        <is>
          <t>Finance Costs</t>
        </is>
      </c>
      <c r="I199" s="13" t="n">
        <v>2629</v>
      </c>
    </row>
    <row r="200">
      <c r="A200" s="12" t="n">
        <v>6</v>
      </c>
      <c r="B200" s="12" t="inlineStr">
        <is>
          <t>Jun</t>
        </is>
      </c>
      <c r="C200" s="12" t="inlineStr">
        <is>
          <t>SALES</t>
        </is>
      </c>
      <c r="D200" s="12" t="inlineStr">
        <is>
          <t>Direct Sales</t>
        </is>
      </c>
      <c r="E200" s="12" t="inlineStr">
        <is>
          <t>REVENUE</t>
        </is>
      </c>
      <c r="F200" s="12" t="inlineStr">
        <is>
          <t>Revenue</t>
        </is>
      </c>
      <c r="G200" s="12" t="inlineStr">
        <is>
          <t>REVENUE_PROD</t>
        </is>
      </c>
      <c r="H200" s="12" t="inlineStr">
        <is>
          <t>Product Revenue</t>
        </is>
      </c>
      <c r="I200" s="13" t="n">
        <v>606980</v>
      </c>
    </row>
    <row r="201">
      <c r="A201" s="12" t="n">
        <v>6</v>
      </c>
      <c r="B201" s="12" t="inlineStr">
        <is>
          <t>Jun</t>
        </is>
      </c>
      <c r="C201" s="12" t="inlineStr">
        <is>
          <t>CHANNEL</t>
        </is>
      </c>
      <c r="D201" s="12" t="inlineStr">
        <is>
          <t>Distributor Channel</t>
        </is>
      </c>
      <c r="E201" s="12" t="inlineStr">
        <is>
          <t>REVENUE</t>
        </is>
      </c>
      <c r="F201" s="12" t="inlineStr">
        <is>
          <t>Revenue</t>
        </is>
      </c>
      <c r="G201" s="12" t="inlineStr">
        <is>
          <t>REVENUE_PROD</t>
        </is>
      </c>
      <c r="H201" s="12" t="inlineStr">
        <is>
          <t>Product Revenue</t>
        </is>
      </c>
      <c r="I201" s="13" t="n">
        <v>331080</v>
      </c>
    </row>
    <row r="202">
      <c r="A202" s="12" t="n">
        <v>6</v>
      </c>
      <c r="B202" s="12" t="inlineStr">
        <is>
          <t>Jun</t>
        </is>
      </c>
      <c r="C202" s="12" t="inlineStr">
        <is>
          <t>SERVICE</t>
        </is>
      </c>
      <c r="D202" s="12" t="inlineStr">
        <is>
          <t>Service and Support</t>
        </is>
      </c>
      <c r="E202" s="12" t="inlineStr">
        <is>
          <t>REVENUE</t>
        </is>
      </c>
      <c r="F202" s="12" t="inlineStr">
        <is>
          <t>Revenue</t>
        </is>
      </c>
      <c r="G202" s="12" t="inlineStr">
        <is>
          <t>REVENUE_PROD</t>
        </is>
      </c>
      <c r="H202" s="12" t="inlineStr">
        <is>
          <t>Product Revenue</t>
        </is>
      </c>
      <c r="I202" s="13" t="n">
        <v>165540</v>
      </c>
    </row>
    <row r="203">
      <c r="A203" s="12" t="n">
        <v>6</v>
      </c>
      <c r="B203" s="12" t="inlineStr">
        <is>
          <t>Jun</t>
        </is>
      </c>
      <c r="C203" s="12" t="inlineStr">
        <is>
          <t>SALES</t>
        </is>
      </c>
      <c r="D203" s="12" t="inlineStr">
        <is>
          <t>Direct Sales</t>
        </is>
      </c>
      <c r="E203" s="12" t="inlineStr">
        <is>
          <t>REVENUE</t>
        </is>
      </c>
      <c r="F203" s="12" t="inlineStr">
        <is>
          <t>Revenue</t>
        </is>
      </c>
      <c r="G203" s="12" t="inlineStr">
        <is>
          <t>REVENUE_SVC</t>
        </is>
      </c>
      <c r="H203" s="12" t="inlineStr">
        <is>
          <t>Service Revenue</t>
        </is>
      </c>
      <c r="I203" s="13" t="n">
        <v>5118</v>
      </c>
    </row>
    <row r="204">
      <c r="A204" s="12" t="n">
        <v>6</v>
      </c>
      <c r="B204" s="12" t="inlineStr">
        <is>
          <t>Jun</t>
        </is>
      </c>
      <c r="C204" s="12" t="inlineStr">
        <is>
          <t>CHANNEL</t>
        </is>
      </c>
      <c r="D204" s="12" t="inlineStr">
        <is>
          <t>Distributor Channel</t>
        </is>
      </c>
      <c r="E204" s="12" t="inlineStr">
        <is>
          <t>REVENUE</t>
        </is>
      </c>
      <c r="F204" s="12" t="inlineStr">
        <is>
          <t>Revenue</t>
        </is>
      </c>
      <c r="G204" s="12" t="inlineStr">
        <is>
          <t>REVENUE_SVC</t>
        </is>
      </c>
      <c r="H204" s="12" t="inlineStr">
        <is>
          <t>Service Revenue</t>
        </is>
      </c>
      <c r="I204" s="13" t="n">
        <v>5118</v>
      </c>
    </row>
    <row r="205">
      <c r="A205" s="12" t="n">
        <v>6</v>
      </c>
      <c r="B205" s="12" t="inlineStr">
        <is>
          <t>Jun</t>
        </is>
      </c>
      <c r="C205" s="12" t="inlineStr">
        <is>
          <t>SERVICE</t>
        </is>
      </c>
      <c r="D205" s="12" t="inlineStr">
        <is>
          <t>Service and Support</t>
        </is>
      </c>
      <c r="E205" s="12" t="inlineStr">
        <is>
          <t>REVENUE</t>
        </is>
      </c>
      <c r="F205" s="12" t="inlineStr">
        <is>
          <t>Revenue</t>
        </is>
      </c>
      <c r="G205" s="12" t="inlineStr">
        <is>
          <t>REVENUE_SVC</t>
        </is>
      </c>
      <c r="H205" s="12" t="inlineStr">
        <is>
          <t>Service Revenue</t>
        </is>
      </c>
      <c r="I205" s="13" t="n">
        <v>92115</v>
      </c>
    </row>
    <row r="206">
      <c r="A206" s="12" t="n">
        <v>6</v>
      </c>
      <c r="B206" s="12" t="inlineStr">
        <is>
          <t>Jun</t>
        </is>
      </c>
      <c r="C206" s="12" t="inlineStr">
        <is>
          <t>SALES</t>
        </is>
      </c>
      <c r="D206" s="12" t="inlineStr">
        <is>
          <t>Direct Sales</t>
        </is>
      </c>
      <c r="E206" s="12" t="inlineStr">
        <is>
          <t>COGS</t>
        </is>
      </c>
      <c r="F206" s="12" t="inlineStr">
        <is>
          <t>Cost of Sales</t>
        </is>
      </c>
      <c r="G206" s="12" t="inlineStr">
        <is>
          <t>COGS</t>
        </is>
      </c>
      <c r="H206" s="12" t="inlineStr">
        <is>
          <t>Cost of Goods Sold</t>
        </is>
      </c>
      <c r="I206" s="13" t="n">
        <v>394537</v>
      </c>
    </row>
    <row r="207">
      <c r="A207" s="12" t="n">
        <v>6</v>
      </c>
      <c r="B207" s="12" t="inlineStr">
        <is>
          <t>Jun</t>
        </is>
      </c>
      <c r="C207" s="12" t="inlineStr">
        <is>
          <t>CHANNEL</t>
        </is>
      </c>
      <c r="D207" s="12" t="inlineStr">
        <is>
          <t>Distributor Channel</t>
        </is>
      </c>
      <c r="E207" s="12" t="inlineStr">
        <is>
          <t>COGS</t>
        </is>
      </c>
      <c r="F207" s="12" t="inlineStr">
        <is>
          <t>Cost of Sales</t>
        </is>
      </c>
      <c r="G207" s="12" t="inlineStr">
        <is>
          <t>COGS</t>
        </is>
      </c>
      <c r="H207" s="12" t="inlineStr">
        <is>
          <t>Cost of Goods Sold</t>
        </is>
      </c>
      <c r="I207" s="13" t="n">
        <v>215202</v>
      </c>
    </row>
    <row r="208">
      <c r="A208" s="12" t="n">
        <v>6</v>
      </c>
      <c r="B208" s="12" t="inlineStr">
        <is>
          <t>Jun</t>
        </is>
      </c>
      <c r="C208" s="12" t="inlineStr">
        <is>
          <t>SERVICE</t>
        </is>
      </c>
      <c r="D208" s="12" t="inlineStr">
        <is>
          <t>Service and Support</t>
        </is>
      </c>
      <c r="E208" s="12" t="inlineStr">
        <is>
          <t>COGS</t>
        </is>
      </c>
      <c r="F208" s="12" t="inlineStr">
        <is>
          <t>Cost of Sales</t>
        </is>
      </c>
      <c r="G208" s="12" t="inlineStr">
        <is>
          <t>COGS</t>
        </is>
      </c>
      <c r="H208" s="12" t="inlineStr">
        <is>
          <t>Cost of Goods Sold</t>
        </is>
      </c>
      <c r="I208" s="13" t="n">
        <v>107601</v>
      </c>
    </row>
    <row r="209">
      <c r="A209" s="12" t="n">
        <v>6</v>
      </c>
      <c r="B209" s="12" t="inlineStr">
        <is>
          <t>Jun</t>
        </is>
      </c>
      <c r="C209" s="12" t="inlineStr">
        <is>
          <t>SALES</t>
        </is>
      </c>
      <c r="D209" s="12" t="inlineStr">
        <is>
          <t>Direct Sales</t>
        </is>
      </c>
      <c r="E209" s="12" t="inlineStr">
        <is>
          <t>OPEX</t>
        </is>
      </c>
      <c r="F209" s="12" t="inlineStr">
        <is>
          <t>Operating Expenses</t>
        </is>
      </c>
      <c r="G209" s="12" t="inlineStr">
        <is>
          <t>SALARY</t>
        </is>
      </c>
      <c r="H209" s="12" t="inlineStr">
        <is>
          <t>Payroll</t>
        </is>
      </c>
      <c r="I209" s="13" t="n">
        <v>100348</v>
      </c>
    </row>
    <row r="210">
      <c r="A210" s="12" t="n">
        <v>6</v>
      </c>
      <c r="B210" s="12" t="inlineStr">
        <is>
          <t>Jun</t>
        </is>
      </c>
      <c r="C210" s="12" t="inlineStr">
        <is>
          <t>CHANNEL</t>
        </is>
      </c>
      <c r="D210" s="12" t="inlineStr">
        <is>
          <t>Distributor Channel</t>
        </is>
      </c>
      <c r="E210" s="12" t="inlineStr">
        <is>
          <t>OPEX</t>
        </is>
      </c>
      <c r="F210" s="12" t="inlineStr">
        <is>
          <t>Operating Expenses</t>
        </is>
      </c>
      <c r="G210" s="12" t="inlineStr">
        <is>
          <t>SALARY</t>
        </is>
      </c>
      <c r="H210" s="12" t="inlineStr">
        <is>
          <t>Payroll</t>
        </is>
      </c>
      <c r="I210" s="13" t="n">
        <v>54735</v>
      </c>
    </row>
    <row r="211">
      <c r="A211" s="12" t="n">
        <v>6</v>
      </c>
      <c r="B211" s="12" t="inlineStr">
        <is>
          <t>Jun</t>
        </is>
      </c>
      <c r="C211" s="12" t="inlineStr">
        <is>
          <t>SERVICE</t>
        </is>
      </c>
      <c r="D211" s="12" t="inlineStr">
        <is>
          <t>Service and Support</t>
        </is>
      </c>
      <c r="E211" s="12" t="inlineStr">
        <is>
          <t>OPEX</t>
        </is>
      </c>
      <c r="F211" s="12" t="inlineStr">
        <is>
          <t>Operating Expenses</t>
        </is>
      </c>
      <c r="G211" s="12" t="inlineStr">
        <is>
          <t>SALARY</t>
        </is>
      </c>
      <c r="H211" s="12" t="inlineStr">
        <is>
          <t>Payroll</t>
        </is>
      </c>
      <c r="I211" s="13" t="n">
        <v>27368</v>
      </c>
    </row>
    <row r="212">
      <c r="A212" s="12" t="n">
        <v>6</v>
      </c>
      <c r="B212" s="12" t="inlineStr">
        <is>
          <t>Jun</t>
        </is>
      </c>
      <c r="C212" s="12" t="inlineStr">
        <is>
          <t>SALES</t>
        </is>
      </c>
      <c r="D212" s="12" t="inlineStr">
        <is>
          <t>Direct Sales</t>
        </is>
      </c>
      <c r="E212" s="12" t="inlineStr">
        <is>
          <t>OPEX</t>
        </is>
      </c>
      <c r="F212" s="12" t="inlineStr">
        <is>
          <t>Operating Expenses</t>
        </is>
      </c>
      <c r="G212" s="12" t="inlineStr">
        <is>
          <t>RENT</t>
        </is>
      </c>
      <c r="H212" s="12" t="inlineStr">
        <is>
          <t>Rent and Facilities</t>
        </is>
      </c>
      <c r="I212" s="13" t="n">
        <v>11983</v>
      </c>
    </row>
    <row r="213">
      <c r="A213" s="12" t="n">
        <v>6</v>
      </c>
      <c r="B213" s="12" t="inlineStr">
        <is>
          <t>Jun</t>
        </is>
      </c>
      <c r="C213" s="12" t="inlineStr">
        <is>
          <t>CHANNEL</t>
        </is>
      </c>
      <c r="D213" s="12" t="inlineStr">
        <is>
          <t>Distributor Channel</t>
        </is>
      </c>
      <c r="E213" s="12" t="inlineStr">
        <is>
          <t>OPEX</t>
        </is>
      </c>
      <c r="F213" s="12" t="inlineStr">
        <is>
          <t>Operating Expenses</t>
        </is>
      </c>
      <c r="G213" s="12" t="inlineStr">
        <is>
          <t>RENT</t>
        </is>
      </c>
      <c r="H213" s="12" t="inlineStr">
        <is>
          <t>Rent and Facilities</t>
        </is>
      </c>
      <c r="I213" s="13" t="n">
        <v>11631</v>
      </c>
    </row>
    <row r="214">
      <c r="A214" s="12" t="n">
        <v>6</v>
      </c>
      <c r="B214" s="12" t="inlineStr">
        <is>
          <t>Jun</t>
        </is>
      </c>
      <c r="C214" s="12" t="inlineStr">
        <is>
          <t>SERVICE</t>
        </is>
      </c>
      <c r="D214" s="12" t="inlineStr">
        <is>
          <t>Service and Support</t>
        </is>
      </c>
      <c r="E214" s="12" t="inlineStr">
        <is>
          <t>OPEX</t>
        </is>
      </c>
      <c r="F214" s="12" t="inlineStr">
        <is>
          <t>Operating Expenses</t>
        </is>
      </c>
      <c r="G214" s="12" t="inlineStr">
        <is>
          <t>RENT</t>
        </is>
      </c>
      <c r="H214" s="12" t="inlineStr">
        <is>
          <t>Rent and Facilities</t>
        </is>
      </c>
      <c r="I214" s="13" t="n">
        <v>11631</v>
      </c>
    </row>
    <row r="215">
      <c r="A215" s="12" t="n">
        <v>6</v>
      </c>
      <c r="B215" s="12" t="inlineStr">
        <is>
          <t>Jun</t>
        </is>
      </c>
      <c r="C215" s="12" t="inlineStr">
        <is>
          <t>SALES</t>
        </is>
      </c>
      <c r="D215" s="12" t="inlineStr">
        <is>
          <t>Direct Sales</t>
        </is>
      </c>
      <c r="E215" s="12" t="inlineStr">
        <is>
          <t>OPEX</t>
        </is>
      </c>
      <c r="F215" s="12" t="inlineStr">
        <is>
          <t>Operating Expenses</t>
        </is>
      </c>
      <c r="G215" s="12" t="inlineStr">
        <is>
          <t>VEHICLE</t>
        </is>
      </c>
      <c r="H215" s="12" t="inlineStr">
        <is>
          <t>Vehicle</t>
        </is>
      </c>
      <c r="I215" s="13" t="n">
        <v>10475</v>
      </c>
    </row>
    <row r="216">
      <c r="A216" s="12" t="n">
        <v>6</v>
      </c>
      <c r="B216" s="12" t="inlineStr">
        <is>
          <t>Jun</t>
        </is>
      </c>
      <c r="C216" s="12" t="inlineStr">
        <is>
          <t>CHANNEL</t>
        </is>
      </c>
      <c r="D216" s="12" t="inlineStr">
        <is>
          <t>Distributor Channel</t>
        </is>
      </c>
      <c r="E216" s="12" t="inlineStr">
        <is>
          <t>OPEX</t>
        </is>
      </c>
      <c r="F216" s="12" t="inlineStr">
        <is>
          <t>Operating Expenses</t>
        </is>
      </c>
      <c r="G216" s="12" t="inlineStr">
        <is>
          <t>VEHICLE</t>
        </is>
      </c>
      <c r="H216" s="12" t="inlineStr">
        <is>
          <t>Vehicle</t>
        </is>
      </c>
      <c r="I216" s="13" t="n">
        <v>5714</v>
      </c>
    </row>
    <row r="217">
      <c r="A217" s="12" t="n">
        <v>6</v>
      </c>
      <c r="B217" s="12" t="inlineStr">
        <is>
          <t>Jun</t>
        </is>
      </c>
      <c r="C217" s="12" t="inlineStr">
        <is>
          <t>SERVICE</t>
        </is>
      </c>
      <c r="D217" s="12" t="inlineStr">
        <is>
          <t>Service and Support</t>
        </is>
      </c>
      <c r="E217" s="12" t="inlineStr">
        <is>
          <t>OPEX</t>
        </is>
      </c>
      <c r="F217" s="12" t="inlineStr">
        <is>
          <t>Operating Expenses</t>
        </is>
      </c>
      <c r="G217" s="12" t="inlineStr">
        <is>
          <t>VEHICLE</t>
        </is>
      </c>
      <c r="H217" s="12" t="inlineStr">
        <is>
          <t>Vehicle</t>
        </is>
      </c>
      <c r="I217" s="13" t="n">
        <v>2857</v>
      </c>
    </row>
    <row r="218">
      <c r="A218" s="12" t="n">
        <v>6</v>
      </c>
      <c r="B218" s="12" t="inlineStr">
        <is>
          <t>Jun</t>
        </is>
      </c>
      <c r="C218" s="12" t="inlineStr">
        <is>
          <t>SALES</t>
        </is>
      </c>
      <c r="D218" s="12" t="inlineStr">
        <is>
          <t>Direct Sales</t>
        </is>
      </c>
      <c r="E218" s="12" t="inlineStr">
        <is>
          <t>OPEX</t>
        </is>
      </c>
      <c r="F218" s="12" t="inlineStr">
        <is>
          <t>Operating Expenses</t>
        </is>
      </c>
      <c r="G218" s="12" t="inlineStr">
        <is>
          <t>MARKETING</t>
        </is>
      </c>
      <c r="H218" s="12" t="inlineStr">
        <is>
          <t>Marketing</t>
        </is>
      </c>
      <c r="I218" s="13" t="n">
        <v>16154</v>
      </c>
    </row>
    <row r="219">
      <c r="A219" s="12" t="n">
        <v>6</v>
      </c>
      <c r="B219" s="12" t="inlineStr">
        <is>
          <t>Jun</t>
        </is>
      </c>
      <c r="C219" s="12" t="inlineStr">
        <is>
          <t>CHANNEL</t>
        </is>
      </c>
      <c r="D219" s="12" t="inlineStr">
        <is>
          <t>Distributor Channel</t>
        </is>
      </c>
      <c r="E219" s="12" t="inlineStr">
        <is>
          <t>OPEX</t>
        </is>
      </c>
      <c r="F219" s="12" t="inlineStr">
        <is>
          <t>Operating Expenses</t>
        </is>
      </c>
      <c r="G219" s="12" t="inlineStr">
        <is>
          <t>MARKETING</t>
        </is>
      </c>
      <c r="H219" s="12" t="inlineStr">
        <is>
          <t>Marketing</t>
        </is>
      </c>
      <c r="I219" s="13" t="n">
        <v>8811</v>
      </c>
    </row>
    <row r="220">
      <c r="A220" s="12" t="n">
        <v>6</v>
      </c>
      <c r="B220" s="12" t="inlineStr">
        <is>
          <t>Jun</t>
        </is>
      </c>
      <c r="C220" s="12" t="inlineStr">
        <is>
          <t>SERVICE</t>
        </is>
      </c>
      <c r="D220" s="12" t="inlineStr">
        <is>
          <t>Service and Support</t>
        </is>
      </c>
      <c r="E220" s="12" t="inlineStr">
        <is>
          <t>OPEX</t>
        </is>
      </c>
      <c r="F220" s="12" t="inlineStr">
        <is>
          <t>Operating Expenses</t>
        </is>
      </c>
      <c r="G220" s="12" t="inlineStr">
        <is>
          <t>MARKETING</t>
        </is>
      </c>
      <c r="H220" s="12" t="inlineStr">
        <is>
          <t>Marketing</t>
        </is>
      </c>
      <c r="I220" s="13" t="n">
        <v>4406</v>
      </c>
    </row>
    <row r="221">
      <c r="A221" s="12" t="n">
        <v>6</v>
      </c>
      <c r="B221" s="12" t="inlineStr">
        <is>
          <t>Jun</t>
        </is>
      </c>
      <c r="C221" s="12" t="inlineStr">
        <is>
          <t>SALES</t>
        </is>
      </c>
      <c r="D221" s="12" t="inlineStr">
        <is>
          <t>Direct Sales</t>
        </is>
      </c>
      <c r="E221" s="12" t="inlineStr">
        <is>
          <t>OPEX</t>
        </is>
      </c>
      <c r="F221" s="12" t="inlineStr">
        <is>
          <t>Operating Expenses</t>
        </is>
      </c>
      <c r="G221" s="12" t="inlineStr">
        <is>
          <t>ENTERTAIN</t>
        </is>
      </c>
      <c r="H221" s="12" t="inlineStr">
        <is>
          <t>Entertainment</t>
        </is>
      </c>
      <c r="I221" s="13" t="n">
        <v>2350</v>
      </c>
    </row>
    <row r="222">
      <c r="A222" s="12" t="n">
        <v>6</v>
      </c>
      <c r="B222" s="12" t="inlineStr">
        <is>
          <t>Jun</t>
        </is>
      </c>
      <c r="C222" s="12" t="inlineStr">
        <is>
          <t>CHANNEL</t>
        </is>
      </c>
      <c r="D222" s="12" t="inlineStr">
        <is>
          <t>Distributor Channel</t>
        </is>
      </c>
      <c r="E222" s="12" t="inlineStr">
        <is>
          <t>OPEX</t>
        </is>
      </c>
      <c r="F222" s="12" t="inlineStr">
        <is>
          <t>Operating Expenses</t>
        </is>
      </c>
      <c r="G222" s="12" t="inlineStr">
        <is>
          <t>ENTERTAIN</t>
        </is>
      </c>
      <c r="H222" s="12" t="inlineStr">
        <is>
          <t>Entertainment</t>
        </is>
      </c>
      <c r="I222" s="13" t="n">
        <v>1282</v>
      </c>
    </row>
    <row r="223">
      <c r="A223" s="12" t="n">
        <v>6</v>
      </c>
      <c r="B223" s="12" t="inlineStr">
        <is>
          <t>Jun</t>
        </is>
      </c>
      <c r="C223" s="12" t="inlineStr">
        <is>
          <t>SERVICE</t>
        </is>
      </c>
      <c r="D223" s="12" t="inlineStr">
        <is>
          <t>Service and Support</t>
        </is>
      </c>
      <c r="E223" s="12" t="inlineStr">
        <is>
          <t>OPEX</t>
        </is>
      </c>
      <c r="F223" s="12" t="inlineStr">
        <is>
          <t>Operating Expenses</t>
        </is>
      </c>
      <c r="G223" s="12" t="inlineStr">
        <is>
          <t>ENTERTAIN</t>
        </is>
      </c>
      <c r="H223" s="12" t="inlineStr">
        <is>
          <t>Entertainment</t>
        </is>
      </c>
      <c r="I223" s="13" t="n">
        <v>641</v>
      </c>
    </row>
    <row r="224">
      <c r="A224" s="12" t="n">
        <v>6</v>
      </c>
      <c r="B224" s="12" t="inlineStr">
        <is>
          <t>Jun</t>
        </is>
      </c>
      <c r="C224" s="12" t="inlineStr">
        <is>
          <t>SALES</t>
        </is>
      </c>
      <c r="D224" s="12" t="inlineStr">
        <is>
          <t>Direct Sales</t>
        </is>
      </c>
      <c r="E224" s="12" t="inlineStr">
        <is>
          <t>OPEX</t>
        </is>
      </c>
      <c r="F224" s="12" t="inlineStr">
        <is>
          <t>Operating Expenses</t>
        </is>
      </c>
      <c r="G224" s="12" t="inlineStr">
        <is>
          <t>OFFICE</t>
        </is>
      </c>
      <c r="H224" s="12" t="inlineStr">
        <is>
          <t>Office</t>
        </is>
      </c>
      <c r="I224" s="13" t="n">
        <v>6168</v>
      </c>
    </row>
    <row r="225">
      <c r="A225" s="12" t="n">
        <v>6</v>
      </c>
      <c r="B225" s="12" t="inlineStr">
        <is>
          <t>Jun</t>
        </is>
      </c>
      <c r="C225" s="12" t="inlineStr">
        <is>
          <t>CHANNEL</t>
        </is>
      </c>
      <c r="D225" s="12" t="inlineStr">
        <is>
          <t>Distributor Channel</t>
        </is>
      </c>
      <c r="E225" s="12" t="inlineStr">
        <is>
          <t>OPEX</t>
        </is>
      </c>
      <c r="F225" s="12" t="inlineStr">
        <is>
          <t>Operating Expenses</t>
        </is>
      </c>
      <c r="G225" s="12" t="inlineStr">
        <is>
          <t>OFFICE</t>
        </is>
      </c>
      <c r="H225" s="12" t="inlineStr">
        <is>
          <t>Office</t>
        </is>
      </c>
      <c r="I225" s="13" t="n">
        <v>3364</v>
      </c>
    </row>
    <row r="226">
      <c r="A226" s="12" t="n">
        <v>6</v>
      </c>
      <c r="B226" s="12" t="inlineStr">
        <is>
          <t>Jun</t>
        </is>
      </c>
      <c r="C226" s="12" t="inlineStr">
        <is>
          <t>SERVICE</t>
        </is>
      </c>
      <c r="D226" s="12" t="inlineStr">
        <is>
          <t>Service and Support</t>
        </is>
      </c>
      <c r="E226" s="12" t="inlineStr">
        <is>
          <t>OPEX</t>
        </is>
      </c>
      <c r="F226" s="12" t="inlineStr">
        <is>
          <t>Operating Expenses</t>
        </is>
      </c>
      <c r="G226" s="12" t="inlineStr">
        <is>
          <t>OFFICE</t>
        </is>
      </c>
      <c r="H226" s="12" t="inlineStr">
        <is>
          <t>Office</t>
        </is>
      </c>
      <c r="I226" s="13" t="n">
        <v>1682</v>
      </c>
    </row>
    <row r="227">
      <c r="A227" s="12" t="n">
        <v>6</v>
      </c>
      <c r="B227" s="12" t="inlineStr">
        <is>
          <t>Jun</t>
        </is>
      </c>
      <c r="C227" s="12" t="inlineStr">
        <is>
          <t>SALES</t>
        </is>
      </c>
      <c r="D227" s="12" t="inlineStr">
        <is>
          <t>Direct Sales</t>
        </is>
      </c>
      <c r="E227" s="12" t="inlineStr">
        <is>
          <t>OPEX</t>
        </is>
      </c>
      <c r="F227" s="12" t="inlineStr">
        <is>
          <t>Operating Expenses</t>
        </is>
      </c>
      <c r="G227" s="12" t="inlineStr">
        <is>
          <t>MERCHANT</t>
        </is>
      </c>
      <c r="H227" s="12" t="inlineStr">
        <is>
          <t>Merchant Fees</t>
        </is>
      </c>
      <c r="I227" s="13" t="n">
        <v>7440</v>
      </c>
    </row>
    <row r="228">
      <c r="A228" s="12" t="n">
        <v>6</v>
      </c>
      <c r="B228" s="12" t="inlineStr">
        <is>
          <t>Jun</t>
        </is>
      </c>
      <c r="C228" s="12" t="inlineStr">
        <is>
          <t>CHANNEL</t>
        </is>
      </c>
      <c r="D228" s="12" t="inlineStr">
        <is>
          <t>Distributor Channel</t>
        </is>
      </c>
      <c r="E228" s="12" t="inlineStr">
        <is>
          <t>OPEX</t>
        </is>
      </c>
      <c r="F228" s="12" t="inlineStr">
        <is>
          <t>Operating Expenses</t>
        </is>
      </c>
      <c r="G228" s="12" t="inlineStr">
        <is>
          <t>MERCHANT</t>
        </is>
      </c>
      <c r="H228" s="12" t="inlineStr">
        <is>
          <t>Merchant Fees</t>
        </is>
      </c>
      <c r="I228" s="13" t="n">
        <v>4058</v>
      </c>
    </row>
    <row r="229">
      <c r="A229" s="12" t="n">
        <v>6</v>
      </c>
      <c r="B229" s="12" t="inlineStr">
        <is>
          <t>Jun</t>
        </is>
      </c>
      <c r="C229" s="12" t="inlineStr">
        <is>
          <t>SERVICE</t>
        </is>
      </c>
      <c r="D229" s="12" t="inlineStr">
        <is>
          <t>Service and Support</t>
        </is>
      </c>
      <c r="E229" s="12" t="inlineStr">
        <is>
          <t>OPEX</t>
        </is>
      </c>
      <c r="F229" s="12" t="inlineStr">
        <is>
          <t>Operating Expenses</t>
        </is>
      </c>
      <c r="G229" s="12" t="inlineStr">
        <is>
          <t>MERCHANT</t>
        </is>
      </c>
      <c r="H229" s="12" t="inlineStr">
        <is>
          <t>Merchant Fees</t>
        </is>
      </c>
      <c r="I229" s="13" t="n">
        <v>2029</v>
      </c>
    </row>
    <row r="230">
      <c r="A230" s="12" t="n">
        <v>6</v>
      </c>
      <c r="B230" s="12" t="inlineStr">
        <is>
          <t>Jun</t>
        </is>
      </c>
      <c r="C230" s="12" t="inlineStr">
        <is>
          <t>SALES</t>
        </is>
      </c>
      <c r="D230" s="12" t="inlineStr">
        <is>
          <t>Direct Sales</t>
        </is>
      </c>
      <c r="E230" s="12" t="inlineStr">
        <is>
          <t>OPEX</t>
        </is>
      </c>
      <c r="F230" s="12" t="inlineStr">
        <is>
          <t>Operating Expenses</t>
        </is>
      </c>
      <c r="G230" s="12" t="inlineStr">
        <is>
          <t>PROFSVC</t>
        </is>
      </c>
      <c r="H230" s="12" t="inlineStr">
        <is>
          <t>Professional Fees</t>
        </is>
      </c>
      <c r="I230" s="13" t="n">
        <v>5776</v>
      </c>
    </row>
    <row r="231">
      <c r="A231" s="12" t="n">
        <v>6</v>
      </c>
      <c r="B231" s="12" t="inlineStr">
        <is>
          <t>Jun</t>
        </is>
      </c>
      <c r="C231" s="12" t="inlineStr">
        <is>
          <t>CHANNEL</t>
        </is>
      </c>
      <c r="D231" s="12" t="inlineStr">
        <is>
          <t>Distributor Channel</t>
        </is>
      </c>
      <c r="E231" s="12" t="inlineStr">
        <is>
          <t>OPEX</t>
        </is>
      </c>
      <c r="F231" s="12" t="inlineStr">
        <is>
          <t>Operating Expenses</t>
        </is>
      </c>
      <c r="G231" s="12" t="inlineStr">
        <is>
          <t>PROFSVC</t>
        </is>
      </c>
      <c r="H231" s="12" t="inlineStr">
        <is>
          <t>Professional Fees</t>
        </is>
      </c>
      <c r="I231" s="13" t="n">
        <v>3151</v>
      </c>
    </row>
    <row r="232">
      <c r="A232" s="12" t="n">
        <v>6</v>
      </c>
      <c r="B232" s="12" t="inlineStr">
        <is>
          <t>Jun</t>
        </is>
      </c>
      <c r="C232" s="12" t="inlineStr">
        <is>
          <t>SERVICE</t>
        </is>
      </c>
      <c r="D232" s="12" t="inlineStr">
        <is>
          <t>Service and Support</t>
        </is>
      </c>
      <c r="E232" s="12" t="inlineStr">
        <is>
          <t>OPEX</t>
        </is>
      </c>
      <c r="F232" s="12" t="inlineStr">
        <is>
          <t>Operating Expenses</t>
        </is>
      </c>
      <c r="G232" s="12" t="inlineStr">
        <is>
          <t>PROFSVC</t>
        </is>
      </c>
      <c r="H232" s="12" t="inlineStr">
        <is>
          <t>Professional Fees</t>
        </is>
      </c>
      <c r="I232" s="13" t="n">
        <v>1575</v>
      </c>
    </row>
    <row r="233">
      <c r="A233" s="12" t="n">
        <v>6</v>
      </c>
      <c r="B233" s="12" t="inlineStr">
        <is>
          <t>Jun</t>
        </is>
      </c>
      <c r="C233" s="12" t="inlineStr">
        <is>
          <t>SALES</t>
        </is>
      </c>
      <c r="D233" s="12" t="inlineStr">
        <is>
          <t>Direct Sales</t>
        </is>
      </c>
      <c r="E233" s="12" t="inlineStr">
        <is>
          <t>OPEX</t>
        </is>
      </c>
      <c r="F233" s="12" t="inlineStr">
        <is>
          <t>Operating Expenses</t>
        </is>
      </c>
      <c r="G233" s="12" t="inlineStr">
        <is>
          <t>DEPREC</t>
        </is>
      </c>
      <c r="H233" s="12" t="inlineStr">
        <is>
          <t>Depreciation</t>
        </is>
      </c>
      <c r="I233" s="13" t="n">
        <v>5447</v>
      </c>
    </row>
    <row r="234">
      <c r="A234" s="12" t="n">
        <v>6</v>
      </c>
      <c r="B234" s="12" t="inlineStr">
        <is>
          <t>Jun</t>
        </is>
      </c>
      <c r="C234" s="12" t="inlineStr">
        <is>
          <t>CHANNEL</t>
        </is>
      </c>
      <c r="D234" s="12" t="inlineStr">
        <is>
          <t>Distributor Channel</t>
        </is>
      </c>
      <c r="E234" s="12" t="inlineStr">
        <is>
          <t>OPEX</t>
        </is>
      </c>
      <c r="F234" s="12" t="inlineStr">
        <is>
          <t>Operating Expenses</t>
        </is>
      </c>
      <c r="G234" s="12" t="inlineStr">
        <is>
          <t>DEPREC</t>
        </is>
      </c>
      <c r="H234" s="12" t="inlineStr">
        <is>
          <t>Depreciation</t>
        </is>
      </c>
      <c r="I234" s="13" t="n">
        <v>5287</v>
      </c>
    </row>
    <row r="235">
      <c r="A235" s="12" t="n">
        <v>6</v>
      </c>
      <c r="B235" s="12" t="inlineStr">
        <is>
          <t>Jun</t>
        </is>
      </c>
      <c r="C235" s="12" t="inlineStr">
        <is>
          <t>SERVICE</t>
        </is>
      </c>
      <c r="D235" s="12" t="inlineStr">
        <is>
          <t>Service and Support</t>
        </is>
      </c>
      <c r="E235" s="12" t="inlineStr">
        <is>
          <t>OPEX</t>
        </is>
      </c>
      <c r="F235" s="12" t="inlineStr">
        <is>
          <t>Operating Expenses</t>
        </is>
      </c>
      <c r="G235" s="12" t="inlineStr">
        <is>
          <t>DEPREC</t>
        </is>
      </c>
      <c r="H235" s="12" t="inlineStr">
        <is>
          <t>Depreciation</t>
        </is>
      </c>
      <c r="I235" s="13" t="n">
        <v>5287</v>
      </c>
    </row>
    <row r="236">
      <c r="A236" s="12" t="n">
        <v>6</v>
      </c>
      <c r="B236" s="12" t="inlineStr">
        <is>
          <t>Jun</t>
        </is>
      </c>
      <c r="C236" s="12" t="inlineStr">
        <is>
          <t>SALES</t>
        </is>
      </c>
      <c r="D236" s="12" t="inlineStr">
        <is>
          <t>Direct Sales</t>
        </is>
      </c>
      <c r="E236" s="12" t="inlineStr">
        <is>
          <t>OPEX</t>
        </is>
      </c>
      <c r="F236" s="12" t="inlineStr">
        <is>
          <t>Operating Expenses</t>
        </is>
      </c>
      <c r="G236" s="12" t="inlineStr">
        <is>
          <t>FINANCE</t>
        </is>
      </c>
      <c r="H236" s="12" t="inlineStr">
        <is>
          <t>Finance Costs</t>
        </is>
      </c>
      <c r="I236" s="13" t="n">
        <v>2905</v>
      </c>
    </row>
    <row r="237">
      <c r="A237" s="12" t="n">
        <v>6</v>
      </c>
      <c r="B237" s="12" t="inlineStr">
        <is>
          <t>Jun</t>
        </is>
      </c>
      <c r="C237" s="12" t="inlineStr">
        <is>
          <t>CHANNEL</t>
        </is>
      </c>
      <c r="D237" s="12" t="inlineStr">
        <is>
          <t>Distributor Channel</t>
        </is>
      </c>
      <c r="E237" s="12" t="inlineStr">
        <is>
          <t>OPEX</t>
        </is>
      </c>
      <c r="F237" s="12" t="inlineStr">
        <is>
          <t>Operating Expenses</t>
        </is>
      </c>
      <c r="G237" s="12" t="inlineStr">
        <is>
          <t>FINANCE</t>
        </is>
      </c>
      <c r="H237" s="12" t="inlineStr">
        <is>
          <t>Finance Costs</t>
        </is>
      </c>
      <c r="I237" s="13" t="n">
        <v>2820</v>
      </c>
    </row>
    <row r="238">
      <c r="A238" s="12" t="n">
        <v>6</v>
      </c>
      <c r="B238" s="12" t="inlineStr">
        <is>
          <t>Jun</t>
        </is>
      </c>
      <c r="C238" s="12" t="inlineStr">
        <is>
          <t>SERVICE</t>
        </is>
      </c>
      <c r="D238" s="12" t="inlineStr">
        <is>
          <t>Service and Support</t>
        </is>
      </c>
      <c r="E238" s="12" t="inlineStr">
        <is>
          <t>OPEX</t>
        </is>
      </c>
      <c r="F238" s="12" t="inlineStr">
        <is>
          <t>Operating Expenses</t>
        </is>
      </c>
      <c r="G238" s="12" t="inlineStr">
        <is>
          <t>FINANCE</t>
        </is>
      </c>
      <c r="H238" s="12" t="inlineStr">
        <is>
          <t>Finance Costs</t>
        </is>
      </c>
      <c r="I238" s="13" t="n">
        <v>2820</v>
      </c>
    </row>
    <row r="239">
      <c r="A239" s="12" t="n">
        <v>7</v>
      </c>
      <c r="B239" s="12" t="inlineStr">
        <is>
          <t>Jul</t>
        </is>
      </c>
      <c r="C239" s="12" t="inlineStr">
        <is>
          <t>SALES</t>
        </is>
      </c>
      <c r="D239" s="12" t="inlineStr">
        <is>
          <t>Direct Sales</t>
        </is>
      </c>
      <c r="E239" s="12" t="inlineStr">
        <is>
          <t>REVENUE</t>
        </is>
      </c>
      <c r="F239" s="12" t="inlineStr">
        <is>
          <t>Revenue</t>
        </is>
      </c>
      <c r="G239" s="12" t="inlineStr">
        <is>
          <t>REVENUE_PROD</t>
        </is>
      </c>
      <c r="H239" s="12" t="inlineStr">
        <is>
          <t>Product Revenue</t>
        </is>
      </c>
      <c r="I239" s="13" t="n">
        <v>511500</v>
      </c>
    </row>
    <row r="240">
      <c r="A240" s="12" t="n">
        <v>7</v>
      </c>
      <c r="B240" s="12" t="inlineStr">
        <is>
          <t>Jul</t>
        </is>
      </c>
      <c r="C240" s="12" t="inlineStr">
        <is>
          <t>CHANNEL</t>
        </is>
      </c>
      <c r="D240" s="12" t="inlineStr">
        <is>
          <t>Distributor Channel</t>
        </is>
      </c>
      <c r="E240" s="12" t="inlineStr">
        <is>
          <t>REVENUE</t>
        </is>
      </c>
      <c r="F240" s="12" t="inlineStr">
        <is>
          <t>Revenue</t>
        </is>
      </c>
      <c r="G240" s="12" t="inlineStr">
        <is>
          <t>REVENUE_PROD</t>
        </is>
      </c>
      <c r="H240" s="12" t="inlineStr">
        <is>
          <t>Product Revenue</t>
        </is>
      </c>
      <c r="I240" s="13" t="n">
        <v>279000</v>
      </c>
    </row>
    <row r="241">
      <c r="A241" s="12" t="n">
        <v>7</v>
      </c>
      <c r="B241" s="12" t="inlineStr">
        <is>
          <t>Jul</t>
        </is>
      </c>
      <c r="C241" s="12" t="inlineStr">
        <is>
          <t>SERVICE</t>
        </is>
      </c>
      <c r="D241" s="12" t="inlineStr">
        <is>
          <t>Service and Support</t>
        </is>
      </c>
      <c r="E241" s="12" t="inlineStr">
        <is>
          <t>REVENUE</t>
        </is>
      </c>
      <c r="F241" s="12" t="inlineStr">
        <is>
          <t>Revenue</t>
        </is>
      </c>
      <c r="G241" s="12" t="inlineStr">
        <is>
          <t>REVENUE_PROD</t>
        </is>
      </c>
      <c r="H241" s="12" t="inlineStr">
        <is>
          <t>Product Revenue</t>
        </is>
      </c>
      <c r="I241" s="13" t="n">
        <v>139500</v>
      </c>
    </row>
    <row r="242">
      <c r="A242" s="12" t="n">
        <v>7</v>
      </c>
      <c r="B242" s="12" t="inlineStr">
        <is>
          <t>Jul</t>
        </is>
      </c>
      <c r="C242" s="12" t="inlineStr">
        <is>
          <t>SALES</t>
        </is>
      </c>
      <c r="D242" s="12" t="inlineStr">
        <is>
          <t>Direct Sales</t>
        </is>
      </c>
      <c r="E242" s="12" t="inlineStr">
        <is>
          <t>REVENUE</t>
        </is>
      </c>
      <c r="F242" s="12" t="inlineStr">
        <is>
          <t>Revenue</t>
        </is>
      </c>
      <c r="G242" s="12" t="inlineStr">
        <is>
          <t>REVENUE_SVC</t>
        </is>
      </c>
      <c r="H242" s="12" t="inlineStr">
        <is>
          <t>Service Revenue</t>
        </is>
      </c>
      <c r="I242" s="13" t="n">
        <v>4312</v>
      </c>
    </row>
    <row r="243">
      <c r="A243" s="12" t="n">
        <v>7</v>
      </c>
      <c r="B243" s="12" t="inlineStr">
        <is>
          <t>Jul</t>
        </is>
      </c>
      <c r="C243" s="12" t="inlineStr">
        <is>
          <t>CHANNEL</t>
        </is>
      </c>
      <c r="D243" s="12" t="inlineStr">
        <is>
          <t>Distributor Channel</t>
        </is>
      </c>
      <c r="E243" s="12" t="inlineStr">
        <is>
          <t>REVENUE</t>
        </is>
      </c>
      <c r="F243" s="12" t="inlineStr">
        <is>
          <t>Revenue</t>
        </is>
      </c>
      <c r="G243" s="12" t="inlineStr">
        <is>
          <t>REVENUE_SVC</t>
        </is>
      </c>
      <c r="H243" s="12" t="inlineStr">
        <is>
          <t>Service Revenue</t>
        </is>
      </c>
      <c r="I243" s="13" t="n">
        <v>4312</v>
      </c>
    </row>
    <row r="244">
      <c r="A244" s="12" t="n">
        <v>7</v>
      </c>
      <c r="B244" s="12" t="inlineStr">
        <is>
          <t>Jul</t>
        </is>
      </c>
      <c r="C244" s="12" t="inlineStr">
        <is>
          <t>SERVICE</t>
        </is>
      </c>
      <c r="D244" s="12" t="inlineStr">
        <is>
          <t>Service and Support</t>
        </is>
      </c>
      <c r="E244" s="12" t="inlineStr">
        <is>
          <t>REVENUE</t>
        </is>
      </c>
      <c r="F244" s="12" t="inlineStr">
        <is>
          <t>Revenue</t>
        </is>
      </c>
      <c r="G244" s="12" t="inlineStr">
        <is>
          <t>REVENUE_SVC</t>
        </is>
      </c>
      <c r="H244" s="12" t="inlineStr">
        <is>
          <t>Service Revenue</t>
        </is>
      </c>
      <c r="I244" s="13" t="n">
        <v>77625</v>
      </c>
    </row>
    <row r="245">
      <c r="A245" s="12" t="n">
        <v>7</v>
      </c>
      <c r="B245" s="12" t="inlineStr">
        <is>
          <t>Jul</t>
        </is>
      </c>
      <c r="C245" s="12" t="inlineStr">
        <is>
          <t>SALES</t>
        </is>
      </c>
      <c r="D245" s="12" t="inlineStr">
        <is>
          <t>Direct Sales</t>
        </is>
      </c>
      <c r="E245" s="12" t="inlineStr">
        <is>
          <t>COGS</t>
        </is>
      </c>
      <c r="F245" s="12" t="inlineStr">
        <is>
          <t>Cost of Sales</t>
        </is>
      </c>
      <c r="G245" s="12" t="inlineStr">
        <is>
          <t>COGS</t>
        </is>
      </c>
      <c r="H245" s="12" t="inlineStr">
        <is>
          <t>Cost of Goods Sold</t>
        </is>
      </c>
      <c r="I245" s="13" t="n">
        <v>332475</v>
      </c>
    </row>
    <row r="246">
      <c r="A246" s="12" t="n">
        <v>7</v>
      </c>
      <c r="B246" s="12" t="inlineStr">
        <is>
          <t>Jul</t>
        </is>
      </c>
      <c r="C246" s="12" t="inlineStr">
        <is>
          <t>CHANNEL</t>
        </is>
      </c>
      <c r="D246" s="12" t="inlineStr">
        <is>
          <t>Distributor Channel</t>
        </is>
      </c>
      <c r="E246" s="12" t="inlineStr">
        <is>
          <t>COGS</t>
        </is>
      </c>
      <c r="F246" s="12" t="inlineStr">
        <is>
          <t>Cost of Sales</t>
        </is>
      </c>
      <c r="G246" s="12" t="inlineStr">
        <is>
          <t>COGS</t>
        </is>
      </c>
      <c r="H246" s="12" t="inlineStr">
        <is>
          <t>Cost of Goods Sold</t>
        </is>
      </c>
      <c r="I246" s="13" t="n">
        <v>181350</v>
      </c>
    </row>
    <row r="247">
      <c r="A247" s="12" t="n">
        <v>7</v>
      </c>
      <c r="B247" s="12" t="inlineStr">
        <is>
          <t>Jul</t>
        </is>
      </c>
      <c r="C247" s="12" t="inlineStr">
        <is>
          <t>SERVICE</t>
        </is>
      </c>
      <c r="D247" s="12" t="inlineStr">
        <is>
          <t>Service and Support</t>
        </is>
      </c>
      <c r="E247" s="12" t="inlineStr">
        <is>
          <t>COGS</t>
        </is>
      </c>
      <c r="F247" s="12" t="inlineStr">
        <is>
          <t>Cost of Sales</t>
        </is>
      </c>
      <c r="G247" s="12" t="inlineStr">
        <is>
          <t>COGS</t>
        </is>
      </c>
      <c r="H247" s="12" t="inlineStr">
        <is>
          <t>Cost of Goods Sold</t>
        </is>
      </c>
      <c r="I247" s="13" t="n">
        <v>90675</v>
      </c>
    </row>
    <row r="248">
      <c r="A248" s="12" t="n">
        <v>7</v>
      </c>
      <c r="B248" s="12" t="inlineStr">
        <is>
          <t>Jul</t>
        </is>
      </c>
      <c r="C248" s="12" t="inlineStr">
        <is>
          <t>SALES</t>
        </is>
      </c>
      <c r="D248" s="12" t="inlineStr">
        <is>
          <t>Direct Sales</t>
        </is>
      </c>
      <c r="E248" s="12" t="inlineStr">
        <is>
          <t>OPEX</t>
        </is>
      </c>
      <c r="F248" s="12" t="inlineStr">
        <is>
          <t>Operating Expenses</t>
        </is>
      </c>
      <c r="G248" s="12" t="inlineStr">
        <is>
          <t>SALARY</t>
        </is>
      </c>
      <c r="H248" s="12" t="inlineStr">
        <is>
          <t>Payroll</t>
        </is>
      </c>
      <c r="I248" s="13" t="n">
        <v>84562</v>
      </c>
    </row>
    <row r="249">
      <c r="A249" s="12" t="n">
        <v>7</v>
      </c>
      <c r="B249" s="12" t="inlineStr">
        <is>
          <t>Jul</t>
        </is>
      </c>
      <c r="C249" s="12" t="inlineStr">
        <is>
          <t>CHANNEL</t>
        </is>
      </c>
      <c r="D249" s="12" t="inlineStr">
        <is>
          <t>Distributor Channel</t>
        </is>
      </c>
      <c r="E249" s="12" t="inlineStr">
        <is>
          <t>OPEX</t>
        </is>
      </c>
      <c r="F249" s="12" t="inlineStr">
        <is>
          <t>Operating Expenses</t>
        </is>
      </c>
      <c r="G249" s="12" t="inlineStr">
        <is>
          <t>SALARY</t>
        </is>
      </c>
      <c r="H249" s="12" t="inlineStr">
        <is>
          <t>Payroll</t>
        </is>
      </c>
      <c r="I249" s="13" t="n">
        <v>46125</v>
      </c>
    </row>
    <row r="250">
      <c r="A250" s="12" t="n">
        <v>7</v>
      </c>
      <c r="B250" s="12" t="inlineStr">
        <is>
          <t>Jul</t>
        </is>
      </c>
      <c r="C250" s="12" t="inlineStr">
        <is>
          <t>SERVICE</t>
        </is>
      </c>
      <c r="D250" s="12" t="inlineStr">
        <is>
          <t>Service and Support</t>
        </is>
      </c>
      <c r="E250" s="12" t="inlineStr">
        <is>
          <t>OPEX</t>
        </is>
      </c>
      <c r="F250" s="12" t="inlineStr">
        <is>
          <t>Operating Expenses</t>
        </is>
      </c>
      <c r="G250" s="12" t="inlineStr">
        <is>
          <t>SALARY</t>
        </is>
      </c>
      <c r="H250" s="12" t="inlineStr">
        <is>
          <t>Payroll</t>
        </is>
      </c>
      <c r="I250" s="13" t="n">
        <v>23062</v>
      </c>
    </row>
    <row r="251">
      <c r="A251" s="12" t="n">
        <v>7</v>
      </c>
      <c r="B251" s="12" t="inlineStr">
        <is>
          <t>Jul</t>
        </is>
      </c>
      <c r="C251" s="12" t="inlineStr">
        <is>
          <t>SALES</t>
        </is>
      </c>
      <c r="D251" s="12" t="inlineStr">
        <is>
          <t>Direct Sales</t>
        </is>
      </c>
      <c r="E251" s="12" t="inlineStr">
        <is>
          <t>OPEX</t>
        </is>
      </c>
      <c r="F251" s="12" t="inlineStr">
        <is>
          <t>Operating Expenses</t>
        </is>
      </c>
      <c r="G251" s="12" t="inlineStr">
        <is>
          <t>RENT</t>
        </is>
      </c>
      <c r="H251" s="12" t="inlineStr">
        <is>
          <t>Rent and Facilities</t>
        </is>
      </c>
      <c r="I251" s="13" t="n">
        <v>10098</v>
      </c>
    </row>
    <row r="252">
      <c r="A252" s="12" t="n">
        <v>7</v>
      </c>
      <c r="B252" s="12" t="inlineStr">
        <is>
          <t>Jul</t>
        </is>
      </c>
      <c r="C252" s="12" t="inlineStr">
        <is>
          <t>CHANNEL</t>
        </is>
      </c>
      <c r="D252" s="12" t="inlineStr">
        <is>
          <t>Distributor Channel</t>
        </is>
      </c>
      <c r="E252" s="12" t="inlineStr">
        <is>
          <t>OPEX</t>
        </is>
      </c>
      <c r="F252" s="12" t="inlineStr">
        <is>
          <t>Operating Expenses</t>
        </is>
      </c>
      <c r="G252" s="12" t="inlineStr">
        <is>
          <t>RENT</t>
        </is>
      </c>
      <c r="H252" s="12" t="inlineStr">
        <is>
          <t>Rent and Facilities</t>
        </is>
      </c>
      <c r="I252" s="13" t="n">
        <v>9801</v>
      </c>
    </row>
    <row r="253">
      <c r="A253" s="12" t="n">
        <v>7</v>
      </c>
      <c r="B253" s="12" t="inlineStr">
        <is>
          <t>Jul</t>
        </is>
      </c>
      <c r="C253" s="12" t="inlineStr">
        <is>
          <t>SERVICE</t>
        </is>
      </c>
      <c r="D253" s="12" t="inlineStr">
        <is>
          <t>Service and Support</t>
        </is>
      </c>
      <c r="E253" s="12" t="inlineStr">
        <is>
          <t>OPEX</t>
        </is>
      </c>
      <c r="F253" s="12" t="inlineStr">
        <is>
          <t>Operating Expenses</t>
        </is>
      </c>
      <c r="G253" s="12" t="inlineStr">
        <is>
          <t>RENT</t>
        </is>
      </c>
      <c r="H253" s="12" t="inlineStr">
        <is>
          <t>Rent and Facilities</t>
        </is>
      </c>
      <c r="I253" s="13" t="n">
        <v>9801</v>
      </c>
    </row>
    <row r="254">
      <c r="A254" s="12" t="n">
        <v>7</v>
      </c>
      <c r="B254" s="12" t="inlineStr">
        <is>
          <t>Jul</t>
        </is>
      </c>
      <c r="C254" s="12" t="inlineStr">
        <is>
          <t>SALES</t>
        </is>
      </c>
      <c r="D254" s="12" t="inlineStr">
        <is>
          <t>Direct Sales</t>
        </is>
      </c>
      <c r="E254" s="12" t="inlineStr">
        <is>
          <t>OPEX</t>
        </is>
      </c>
      <c r="F254" s="12" t="inlineStr">
        <is>
          <t>Operating Expenses</t>
        </is>
      </c>
      <c r="G254" s="12" t="inlineStr">
        <is>
          <t>VEHICLE</t>
        </is>
      </c>
      <c r="H254" s="12" t="inlineStr">
        <is>
          <t>Vehicle</t>
        </is>
      </c>
      <c r="I254" s="13" t="n">
        <v>8828</v>
      </c>
    </row>
    <row r="255">
      <c r="A255" s="12" t="n">
        <v>7</v>
      </c>
      <c r="B255" s="12" t="inlineStr">
        <is>
          <t>Jul</t>
        </is>
      </c>
      <c r="C255" s="12" t="inlineStr">
        <is>
          <t>CHANNEL</t>
        </is>
      </c>
      <c r="D255" s="12" t="inlineStr">
        <is>
          <t>Distributor Channel</t>
        </is>
      </c>
      <c r="E255" s="12" t="inlineStr">
        <is>
          <t>OPEX</t>
        </is>
      </c>
      <c r="F255" s="12" t="inlineStr">
        <is>
          <t>Operating Expenses</t>
        </is>
      </c>
      <c r="G255" s="12" t="inlineStr">
        <is>
          <t>VEHICLE</t>
        </is>
      </c>
      <c r="H255" s="12" t="inlineStr">
        <is>
          <t>Vehicle</t>
        </is>
      </c>
      <c r="I255" s="13" t="n">
        <v>4815</v>
      </c>
    </row>
    <row r="256">
      <c r="A256" s="12" t="n">
        <v>7</v>
      </c>
      <c r="B256" s="12" t="inlineStr">
        <is>
          <t>Jul</t>
        </is>
      </c>
      <c r="C256" s="12" t="inlineStr">
        <is>
          <t>SERVICE</t>
        </is>
      </c>
      <c r="D256" s="12" t="inlineStr">
        <is>
          <t>Service and Support</t>
        </is>
      </c>
      <c r="E256" s="12" t="inlineStr">
        <is>
          <t>OPEX</t>
        </is>
      </c>
      <c r="F256" s="12" t="inlineStr">
        <is>
          <t>Operating Expenses</t>
        </is>
      </c>
      <c r="G256" s="12" t="inlineStr">
        <is>
          <t>VEHICLE</t>
        </is>
      </c>
      <c r="H256" s="12" t="inlineStr">
        <is>
          <t>Vehicle</t>
        </is>
      </c>
      <c r="I256" s="13" t="n">
        <v>2408</v>
      </c>
    </row>
    <row r="257">
      <c r="A257" s="12" t="n">
        <v>7</v>
      </c>
      <c r="B257" s="12" t="inlineStr">
        <is>
          <t>Jul</t>
        </is>
      </c>
      <c r="C257" s="12" t="inlineStr">
        <is>
          <t>SALES</t>
        </is>
      </c>
      <c r="D257" s="12" t="inlineStr">
        <is>
          <t>Direct Sales</t>
        </is>
      </c>
      <c r="E257" s="12" t="inlineStr">
        <is>
          <t>OPEX</t>
        </is>
      </c>
      <c r="F257" s="12" t="inlineStr">
        <is>
          <t>Operating Expenses</t>
        </is>
      </c>
      <c r="G257" s="12" t="inlineStr">
        <is>
          <t>MARKETING</t>
        </is>
      </c>
      <c r="H257" s="12" t="inlineStr">
        <is>
          <t>Marketing</t>
        </is>
      </c>
      <c r="I257" s="13" t="n">
        <v>13613</v>
      </c>
    </row>
    <row r="258">
      <c r="A258" s="12" t="n">
        <v>7</v>
      </c>
      <c r="B258" s="12" t="inlineStr">
        <is>
          <t>Jul</t>
        </is>
      </c>
      <c r="C258" s="12" t="inlineStr">
        <is>
          <t>CHANNEL</t>
        </is>
      </c>
      <c r="D258" s="12" t="inlineStr">
        <is>
          <t>Distributor Channel</t>
        </is>
      </c>
      <c r="E258" s="12" t="inlineStr">
        <is>
          <t>OPEX</t>
        </is>
      </c>
      <c r="F258" s="12" t="inlineStr">
        <is>
          <t>Operating Expenses</t>
        </is>
      </c>
      <c r="G258" s="12" t="inlineStr">
        <is>
          <t>MARKETING</t>
        </is>
      </c>
      <c r="H258" s="12" t="inlineStr">
        <is>
          <t>Marketing</t>
        </is>
      </c>
      <c r="I258" s="13" t="n">
        <v>7425</v>
      </c>
    </row>
    <row r="259">
      <c r="A259" s="12" t="n">
        <v>7</v>
      </c>
      <c r="B259" s="12" t="inlineStr">
        <is>
          <t>Jul</t>
        </is>
      </c>
      <c r="C259" s="12" t="inlineStr">
        <is>
          <t>SERVICE</t>
        </is>
      </c>
      <c r="D259" s="12" t="inlineStr">
        <is>
          <t>Service and Support</t>
        </is>
      </c>
      <c r="E259" s="12" t="inlineStr">
        <is>
          <t>OPEX</t>
        </is>
      </c>
      <c r="F259" s="12" t="inlineStr">
        <is>
          <t>Operating Expenses</t>
        </is>
      </c>
      <c r="G259" s="12" t="inlineStr">
        <is>
          <t>MARKETING</t>
        </is>
      </c>
      <c r="H259" s="12" t="inlineStr">
        <is>
          <t>Marketing</t>
        </is>
      </c>
      <c r="I259" s="13" t="n">
        <v>3712</v>
      </c>
    </row>
    <row r="260">
      <c r="A260" s="12" t="n">
        <v>7</v>
      </c>
      <c r="B260" s="12" t="inlineStr">
        <is>
          <t>Jul</t>
        </is>
      </c>
      <c r="C260" s="12" t="inlineStr">
        <is>
          <t>SALES</t>
        </is>
      </c>
      <c r="D260" s="12" t="inlineStr">
        <is>
          <t>Direct Sales</t>
        </is>
      </c>
      <c r="E260" s="12" t="inlineStr">
        <is>
          <t>OPEX</t>
        </is>
      </c>
      <c r="F260" s="12" t="inlineStr">
        <is>
          <t>Operating Expenses</t>
        </is>
      </c>
      <c r="G260" s="12" t="inlineStr">
        <is>
          <t>ENTERTAIN</t>
        </is>
      </c>
      <c r="H260" s="12" t="inlineStr">
        <is>
          <t>Entertainment</t>
        </is>
      </c>
      <c r="I260" s="13" t="n">
        <v>1980</v>
      </c>
    </row>
    <row r="261">
      <c r="A261" s="12" t="n">
        <v>7</v>
      </c>
      <c r="B261" s="12" t="inlineStr">
        <is>
          <t>Jul</t>
        </is>
      </c>
      <c r="C261" s="12" t="inlineStr">
        <is>
          <t>CHANNEL</t>
        </is>
      </c>
      <c r="D261" s="12" t="inlineStr">
        <is>
          <t>Distributor Channel</t>
        </is>
      </c>
      <c r="E261" s="12" t="inlineStr">
        <is>
          <t>OPEX</t>
        </is>
      </c>
      <c r="F261" s="12" t="inlineStr">
        <is>
          <t>Operating Expenses</t>
        </is>
      </c>
      <c r="G261" s="12" t="inlineStr">
        <is>
          <t>ENTERTAIN</t>
        </is>
      </c>
      <c r="H261" s="12" t="inlineStr">
        <is>
          <t>Entertainment</t>
        </is>
      </c>
      <c r="I261" s="13" t="n">
        <v>1080</v>
      </c>
    </row>
    <row r="262">
      <c r="A262" s="12" t="n">
        <v>7</v>
      </c>
      <c r="B262" s="12" t="inlineStr">
        <is>
          <t>Jul</t>
        </is>
      </c>
      <c r="C262" s="12" t="inlineStr">
        <is>
          <t>SERVICE</t>
        </is>
      </c>
      <c r="D262" s="12" t="inlineStr">
        <is>
          <t>Service and Support</t>
        </is>
      </c>
      <c r="E262" s="12" t="inlineStr">
        <is>
          <t>OPEX</t>
        </is>
      </c>
      <c r="F262" s="12" t="inlineStr">
        <is>
          <t>Operating Expenses</t>
        </is>
      </c>
      <c r="G262" s="12" t="inlineStr">
        <is>
          <t>ENTERTAIN</t>
        </is>
      </c>
      <c r="H262" s="12" t="inlineStr">
        <is>
          <t>Entertainment</t>
        </is>
      </c>
      <c r="I262" s="13" t="n">
        <v>540</v>
      </c>
    </row>
    <row r="263">
      <c r="A263" s="12" t="n">
        <v>7</v>
      </c>
      <c r="B263" s="12" t="inlineStr">
        <is>
          <t>Jul</t>
        </is>
      </c>
      <c r="C263" s="12" t="inlineStr">
        <is>
          <t>SALES</t>
        </is>
      </c>
      <c r="D263" s="12" t="inlineStr">
        <is>
          <t>Direct Sales</t>
        </is>
      </c>
      <c r="E263" s="12" t="inlineStr">
        <is>
          <t>OPEX</t>
        </is>
      </c>
      <c r="F263" s="12" t="inlineStr">
        <is>
          <t>Operating Expenses</t>
        </is>
      </c>
      <c r="G263" s="12" t="inlineStr">
        <is>
          <t>OFFICE</t>
        </is>
      </c>
      <c r="H263" s="12" t="inlineStr">
        <is>
          <t>Office</t>
        </is>
      </c>
      <c r="I263" s="13" t="n">
        <v>5198</v>
      </c>
    </row>
    <row r="264">
      <c r="A264" s="12" t="n">
        <v>7</v>
      </c>
      <c r="B264" s="12" t="inlineStr">
        <is>
          <t>Jul</t>
        </is>
      </c>
      <c r="C264" s="12" t="inlineStr">
        <is>
          <t>CHANNEL</t>
        </is>
      </c>
      <c r="D264" s="12" t="inlineStr">
        <is>
          <t>Distributor Channel</t>
        </is>
      </c>
      <c r="E264" s="12" t="inlineStr">
        <is>
          <t>OPEX</t>
        </is>
      </c>
      <c r="F264" s="12" t="inlineStr">
        <is>
          <t>Operating Expenses</t>
        </is>
      </c>
      <c r="G264" s="12" t="inlineStr">
        <is>
          <t>OFFICE</t>
        </is>
      </c>
      <c r="H264" s="12" t="inlineStr">
        <is>
          <t>Office</t>
        </is>
      </c>
      <c r="I264" s="13" t="n">
        <v>2835</v>
      </c>
    </row>
    <row r="265">
      <c r="A265" s="12" t="n">
        <v>7</v>
      </c>
      <c r="B265" s="12" t="inlineStr">
        <is>
          <t>Jul</t>
        </is>
      </c>
      <c r="C265" s="12" t="inlineStr">
        <is>
          <t>SERVICE</t>
        </is>
      </c>
      <c r="D265" s="12" t="inlineStr">
        <is>
          <t>Service and Support</t>
        </is>
      </c>
      <c r="E265" s="12" t="inlineStr">
        <is>
          <t>OPEX</t>
        </is>
      </c>
      <c r="F265" s="12" t="inlineStr">
        <is>
          <t>Operating Expenses</t>
        </is>
      </c>
      <c r="G265" s="12" t="inlineStr">
        <is>
          <t>OFFICE</t>
        </is>
      </c>
      <c r="H265" s="12" t="inlineStr">
        <is>
          <t>Office</t>
        </is>
      </c>
      <c r="I265" s="13" t="n">
        <v>1418</v>
      </c>
    </row>
    <row r="266">
      <c r="A266" s="12" t="n">
        <v>7</v>
      </c>
      <c r="B266" s="12" t="inlineStr">
        <is>
          <t>Jul</t>
        </is>
      </c>
      <c r="C266" s="12" t="inlineStr">
        <is>
          <t>SALES</t>
        </is>
      </c>
      <c r="D266" s="12" t="inlineStr">
        <is>
          <t>Direct Sales</t>
        </is>
      </c>
      <c r="E266" s="12" t="inlineStr">
        <is>
          <t>OPEX</t>
        </is>
      </c>
      <c r="F266" s="12" t="inlineStr">
        <is>
          <t>Operating Expenses</t>
        </is>
      </c>
      <c r="G266" s="12" t="inlineStr">
        <is>
          <t>MERCHANT</t>
        </is>
      </c>
      <c r="H266" s="12" t="inlineStr">
        <is>
          <t>Merchant Fees</t>
        </is>
      </c>
      <c r="I266" s="13" t="n">
        <v>6270</v>
      </c>
    </row>
    <row r="267">
      <c r="A267" s="12" t="n">
        <v>7</v>
      </c>
      <c r="B267" s="12" t="inlineStr">
        <is>
          <t>Jul</t>
        </is>
      </c>
      <c r="C267" s="12" t="inlineStr">
        <is>
          <t>CHANNEL</t>
        </is>
      </c>
      <c r="D267" s="12" t="inlineStr">
        <is>
          <t>Distributor Channel</t>
        </is>
      </c>
      <c r="E267" s="12" t="inlineStr">
        <is>
          <t>OPEX</t>
        </is>
      </c>
      <c r="F267" s="12" t="inlineStr">
        <is>
          <t>Operating Expenses</t>
        </is>
      </c>
      <c r="G267" s="12" t="inlineStr">
        <is>
          <t>MERCHANT</t>
        </is>
      </c>
      <c r="H267" s="12" t="inlineStr">
        <is>
          <t>Merchant Fees</t>
        </is>
      </c>
      <c r="I267" s="13" t="n">
        <v>3420</v>
      </c>
    </row>
    <row r="268">
      <c r="A268" s="12" t="n">
        <v>7</v>
      </c>
      <c r="B268" s="12" t="inlineStr">
        <is>
          <t>Jul</t>
        </is>
      </c>
      <c r="C268" s="12" t="inlineStr">
        <is>
          <t>SERVICE</t>
        </is>
      </c>
      <c r="D268" s="12" t="inlineStr">
        <is>
          <t>Service and Support</t>
        </is>
      </c>
      <c r="E268" s="12" t="inlineStr">
        <is>
          <t>OPEX</t>
        </is>
      </c>
      <c r="F268" s="12" t="inlineStr">
        <is>
          <t>Operating Expenses</t>
        </is>
      </c>
      <c r="G268" s="12" t="inlineStr">
        <is>
          <t>MERCHANT</t>
        </is>
      </c>
      <c r="H268" s="12" t="inlineStr">
        <is>
          <t>Merchant Fees</t>
        </is>
      </c>
      <c r="I268" s="13" t="n">
        <v>1710</v>
      </c>
    </row>
    <row r="269">
      <c r="A269" s="12" t="n">
        <v>7</v>
      </c>
      <c r="B269" s="12" t="inlineStr">
        <is>
          <t>Jul</t>
        </is>
      </c>
      <c r="C269" s="12" t="inlineStr">
        <is>
          <t>SALES</t>
        </is>
      </c>
      <c r="D269" s="12" t="inlineStr">
        <is>
          <t>Direct Sales</t>
        </is>
      </c>
      <c r="E269" s="12" t="inlineStr">
        <is>
          <t>OPEX</t>
        </is>
      </c>
      <c r="F269" s="12" t="inlineStr">
        <is>
          <t>Operating Expenses</t>
        </is>
      </c>
      <c r="G269" s="12" t="inlineStr">
        <is>
          <t>PROFSVC</t>
        </is>
      </c>
      <c r="H269" s="12" t="inlineStr">
        <is>
          <t>Professional Fees</t>
        </is>
      </c>
      <c r="I269" s="13" t="n">
        <v>4868</v>
      </c>
    </row>
    <row r="270">
      <c r="A270" s="12" t="n">
        <v>7</v>
      </c>
      <c r="B270" s="12" t="inlineStr">
        <is>
          <t>Jul</t>
        </is>
      </c>
      <c r="C270" s="12" t="inlineStr">
        <is>
          <t>CHANNEL</t>
        </is>
      </c>
      <c r="D270" s="12" t="inlineStr">
        <is>
          <t>Distributor Channel</t>
        </is>
      </c>
      <c r="E270" s="12" t="inlineStr">
        <is>
          <t>OPEX</t>
        </is>
      </c>
      <c r="F270" s="12" t="inlineStr">
        <is>
          <t>Operating Expenses</t>
        </is>
      </c>
      <c r="G270" s="12" t="inlineStr">
        <is>
          <t>PROFSVC</t>
        </is>
      </c>
      <c r="H270" s="12" t="inlineStr">
        <is>
          <t>Professional Fees</t>
        </is>
      </c>
      <c r="I270" s="13" t="n">
        <v>2655</v>
      </c>
    </row>
    <row r="271">
      <c r="A271" s="12" t="n">
        <v>7</v>
      </c>
      <c r="B271" s="12" t="inlineStr">
        <is>
          <t>Jul</t>
        </is>
      </c>
      <c r="C271" s="12" t="inlineStr">
        <is>
          <t>SERVICE</t>
        </is>
      </c>
      <c r="D271" s="12" t="inlineStr">
        <is>
          <t>Service and Support</t>
        </is>
      </c>
      <c r="E271" s="12" t="inlineStr">
        <is>
          <t>OPEX</t>
        </is>
      </c>
      <c r="F271" s="12" t="inlineStr">
        <is>
          <t>Operating Expenses</t>
        </is>
      </c>
      <c r="G271" s="12" t="inlineStr">
        <is>
          <t>PROFSVC</t>
        </is>
      </c>
      <c r="H271" s="12" t="inlineStr">
        <is>
          <t>Professional Fees</t>
        </is>
      </c>
      <c r="I271" s="13" t="n">
        <v>1328</v>
      </c>
    </row>
    <row r="272">
      <c r="A272" s="12" t="n">
        <v>7</v>
      </c>
      <c r="B272" s="12" t="inlineStr">
        <is>
          <t>Jul</t>
        </is>
      </c>
      <c r="C272" s="12" t="inlineStr">
        <is>
          <t>SALES</t>
        </is>
      </c>
      <c r="D272" s="12" t="inlineStr">
        <is>
          <t>Direct Sales</t>
        </is>
      </c>
      <c r="E272" s="12" t="inlineStr">
        <is>
          <t>OPEX</t>
        </is>
      </c>
      <c r="F272" s="12" t="inlineStr">
        <is>
          <t>Operating Expenses</t>
        </is>
      </c>
      <c r="G272" s="12" t="inlineStr">
        <is>
          <t>DEPREC</t>
        </is>
      </c>
      <c r="H272" s="12" t="inlineStr">
        <is>
          <t>Depreciation</t>
        </is>
      </c>
      <c r="I272" s="13" t="n">
        <v>4590</v>
      </c>
    </row>
    <row r="273">
      <c r="A273" s="12" t="n">
        <v>7</v>
      </c>
      <c r="B273" s="12" t="inlineStr">
        <is>
          <t>Jul</t>
        </is>
      </c>
      <c r="C273" s="12" t="inlineStr">
        <is>
          <t>CHANNEL</t>
        </is>
      </c>
      <c r="D273" s="12" t="inlineStr">
        <is>
          <t>Distributor Channel</t>
        </is>
      </c>
      <c r="E273" s="12" t="inlineStr">
        <is>
          <t>OPEX</t>
        </is>
      </c>
      <c r="F273" s="12" t="inlineStr">
        <is>
          <t>Operating Expenses</t>
        </is>
      </c>
      <c r="G273" s="12" t="inlineStr">
        <is>
          <t>DEPREC</t>
        </is>
      </c>
      <c r="H273" s="12" t="inlineStr">
        <is>
          <t>Depreciation</t>
        </is>
      </c>
      <c r="I273" s="13" t="n">
        <v>4455</v>
      </c>
    </row>
    <row r="274">
      <c r="A274" s="12" t="n">
        <v>7</v>
      </c>
      <c r="B274" s="12" t="inlineStr">
        <is>
          <t>Jul</t>
        </is>
      </c>
      <c r="C274" s="12" t="inlineStr">
        <is>
          <t>SERVICE</t>
        </is>
      </c>
      <c r="D274" s="12" t="inlineStr">
        <is>
          <t>Service and Support</t>
        </is>
      </c>
      <c r="E274" s="12" t="inlineStr">
        <is>
          <t>OPEX</t>
        </is>
      </c>
      <c r="F274" s="12" t="inlineStr">
        <is>
          <t>Operating Expenses</t>
        </is>
      </c>
      <c r="G274" s="12" t="inlineStr">
        <is>
          <t>DEPREC</t>
        </is>
      </c>
      <c r="H274" s="12" t="inlineStr">
        <is>
          <t>Depreciation</t>
        </is>
      </c>
      <c r="I274" s="13" t="n">
        <v>4455</v>
      </c>
    </row>
    <row r="275">
      <c r="A275" s="12" t="n">
        <v>7</v>
      </c>
      <c r="B275" s="12" t="inlineStr">
        <is>
          <t>Jul</t>
        </is>
      </c>
      <c r="C275" s="12" t="inlineStr">
        <is>
          <t>SALES</t>
        </is>
      </c>
      <c r="D275" s="12" t="inlineStr">
        <is>
          <t>Direct Sales</t>
        </is>
      </c>
      <c r="E275" s="12" t="inlineStr">
        <is>
          <t>OPEX</t>
        </is>
      </c>
      <c r="F275" s="12" t="inlineStr">
        <is>
          <t>Operating Expenses</t>
        </is>
      </c>
      <c r="G275" s="12" t="inlineStr">
        <is>
          <t>FINANCE</t>
        </is>
      </c>
      <c r="H275" s="12" t="inlineStr">
        <is>
          <t>Finance Costs</t>
        </is>
      </c>
      <c r="I275" s="13" t="n">
        <v>2448</v>
      </c>
    </row>
    <row r="276">
      <c r="A276" s="12" t="n">
        <v>7</v>
      </c>
      <c r="B276" s="12" t="inlineStr">
        <is>
          <t>Jul</t>
        </is>
      </c>
      <c r="C276" s="12" t="inlineStr">
        <is>
          <t>CHANNEL</t>
        </is>
      </c>
      <c r="D276" s="12" t="inlineStr">
        <is>
          <t>Distributor Channel</t>
        </is>
      </c>
      <c r="E276" s="12" t="inlineStr">
        <is>
          <t>OPEX</t>
        </is>
      </c>
      <c r="F276" s="12" t="inlineStr">
        <is>
          <t>Operating Expenses</t>
        </is>
      </c>
      <c r="G276" s="12" t="inlineStr">
        <is>
          <t>FINANCE</t>
        </is>
      </c>
      <c r="H276" s="12" t="inlineStr">
        <is>
          <t>Finance Costs</t>
        </is>
      </c>
      <c r="I276" s="13" t="n">
        <v>2376</v>
      </c>
    </row>
    <row r="277">
      <c r="A277" s="12" t="n">
        <v>7</v>
      </c>
      <c r="B277" s="12" t="inlineStr">
        <is>
          <t>Jul</t>
        </is>
      </c>
      <c r="C277" s="12" t="inlineStr">
        <is>
          <t>SERVICE</t>
        </is>
      </c>
      <c r="D277" s="12" t="inlineStr">
        <is>
          <t>Service and Support</t>
        </is>
      </c>
      <c r="E277" s="12" t="inlineStr">
        <is>
          <t>OPEX</t>
        </is>
      </c>
      <c r="F277" s="12" t="inlineStr">
        <is>
          <t>Operating Expenses</t>
        </is>
      </c>
      <c r="G277" s="12" t="inlineStr">
        <is>
          <t>FINANCE</t>
        </is>
      </c>
      <c r="H277" s="12" t="inlineStr">
        <is>
          <t>Finance Costs</t>
        </is>
      </c>
      <c r="I277" s="13" t="n">
        <v>2376</v>
      </c>
    </row>
    <row r="278">
      <c r="A278" s="12" t="n">
        <v>8</v>
      </c>
      <c r="B278" s="12" t="inlineStr">
        <is>
          <t>Aug</t>
        </is>
      </c>
      <c r="C278" s="12" t="inlineStr">
        <is>
          <t>SALES</t>
        </is>
      </c>
      <c r="D278" s="12" t="inlineStr">
        <is>
          <t>Direct Sales</t>
        </is>
      </c>
      <c r="E278" s="12" t="inlineStr">
        <is>
          <t>REVENUE</t>
        </is>
      </c>
      <c r="F278" s="12" t="inlineStr">
        <is>
          <t>Revenue</t>
        </is>
      </c>
      <c r="G278" s="12" t="inlineStr">
        <is>
          <t>REVENUE_PROD</t>
        </is>
      </c>
      <c r="H278" s="12" t="inlineStr">
        <is>
          <t>Product Revenue</t>
        </is>
      </c>
      <c r="I278" s="13" t="n">
        <v>463760</v>
      </c>
    </row>
    <row r="279">
      <c r="A279" s="12" t="n">
        <v>8</v>
      </c>
      <c r="B279" s="12" t="inlineStr">
        <is>
          <t>Aug</t>
        </is>
      </c>
      <c r="C279" s="12" t="inlineStr">
        <is>
          <t>CHANNEL</t>
        </is>
      </c>
      <c r="D279" s="12" t="inlineStr">
        <is>
          <t>Distributor Channel</t>
        </is>
      </c>
      <c r="E279" s="12" t="inlineStr">
        <is>
          <t>REVENUE</t>
        </is>
      </c>
      <c r="F279" s="12" t="inlineStr">
        <is>
          <t>Revenue</t>
        </is>
      </c>
      <c r="G279" s="12" t="inlineStr">
        <is>
          <t>REVENUE_PROD</t>
        </is>
      </c>
      <c r="H279" s="12" t="inlineStr">
        <is>
          <t>Product Revenue</t>
        </is>
      </c>
      <c r="I279" s="13" t="n">
        <v>252960</v>
      </c>
    </row>
    <row r="280">
      <c r="A280" s="12" t="n">
        <v>8</v>
      </c>
      <c r="B280" s="12" t="inlineStr">
        <is>
          <t>Aug</t>
        </is>
      </c>
      <c r="C280" s="12" t="inlineStr">
        <is>
          <t>SERVICE</t>
        </is>
      </c>
      <c r="D280" s="12" t="inlineStr">
        <is>
          <t>Service and Support</t>
        </is>
      </c>
      <c r="E280" s="12" t="inlineStr">
        <is>
          <t>REVENUE</t>
        </is>
      </c>
      <c r="F280" s="12" t="inlineStr">
        <is>
          <t>Revenue</t>
        </is>
      </c>
      <c r="G280" s="12" t="inlineStr">
        <is>
          <t>REVENUE_PROD</t>
        </is>
      </c>
      <c r="H280" s="12" t="inlineStr">
        <is>
          <t>Product Revenue</t>
        </is>
      </c>
      <c r="I280" s="13" t="n">
        <v>126480</v>
      </c>
    </row>
    <row r="281">
      <c r="A281" s="12" t="n">
        <v>8</v>
      </c>
      <c r="B281" s="12" t="inlineStr">
        <is>
          <t>Aug</t>
        </is>
      </c>
      <c r="C281" s="12" t="inlineStr">
        <is>
          <t>SALES</t>
        </is>
      </c>
      <c r="D281" s="12" t="inlineStr">
        <is>
          <t>Direct Sales</t>
        </is>
      </c>
      <c r="E281" s="12" t="inlineStr">
        <is>
          <t>REVENUE</t>
        </is>
      </c>
      <c r="F281" s="12" t="inlineStr">
        <is>
          <t>Revenue</t>
        </is>
      </c>
      <c r="G281" s="12" t="inlineStr">
        <is>
          <t>REVENUE_SVC</t>
        </is>
      </c>
      <c r="H281" s="12" t="inlineStr">
        <is>
          <t>Service Revenue</t>
        </is>
      </c>
      <c r="I281" s="13" t="n">
        <v>3910</v>
      </c>
    </row>
    <row r="282">
      <c r="A282" s="12" t="n">
        <v>8</v>
      </c>
      <c r="B282" s="12" t="inlineStr">
        <is>
          <t>Aug</t>
        </is>
      </c>
      <c r="C282" s="12" t="inlineStr">
        <is>
          <t>CHANNEL</t>
        </is>
      </c>
      <c r="D282" s="12" t="inlineStr">
        <is>
          <t>Distributor Channel</t>
        </is>
      </c>
      <c r="E282" s="12" t="inlineStr">
        <is>
          <t>REVENUE</t>
        </is>
      </c>
      <c r="F282" s="12" t="inlineStr">
        <is>
          <t>Revenue</t>
        </is>
      </c>
      <c r="G282" s="12" t="inlineStr">
        <is>
          <t>REVENUE_SVC</t>
        </is>
      </c>
      <c r="H282" s="12" t="inlineStr">
        <is>
          <t>Service Revenue</t>
        </is>
      </c>
      <c r="I282" s="13" t="n">
        <v>3910</v>
      </c>
    </row>
    <row r="283">
      <c r="A283" s="12" t="n">
        <v>8</v>
      </c>
      <c r="B283" s="12" t="inlineStr">
        <is>
          <t>Aug</t>
        </is>
      </c>
      <c r="C283" s="12" t="inlineStr">
        <is>
          <t>SERVICE</t>
        </is>
      </c>
      <c r="D283" s="12" t="inlineStr">
        <is>
          <t>Service and Support</t>
        </is>
      </c>
      <c r="E283" s="12" t="inlineStr">
        <is>
          <t>REVENUE</t>
        </is>
      </c>
      <c r="F283" s="12" t="inlineStr">
        <is>
          <t>Revenue</t>
        </is>
      </c>
      <c r="G283" s="12" t="inlineStr">
        <is>
          <t>REVENUE_SVC</t>
        </is>
      </c>
      <c r="H283" s="12" t="inlineStr">
        <is>
          <t>Service Revenue</t>
        </is>
      </c>
      <c r="I283" s="13" t="n">
        <v>70380</v>
      </c>
    </row>
    <row r="284">
      <c r="A284" s="12" t="n">
        <v>8</v>
      </c>
      <c r="B284" s="12" t="inlineStr">
        <is>
          <t>Aug</t>
        </is>
      </c>
      <c r="C284" s="12" t="inlineStr">
        <is>
          <t>SALES</t>
        </is>
      </c>
      <c r="D284" s="12" t="inlineStr">
        <is>
          <t>Direct Sales</t>
        </is>
      </c>
      <c r="E284" s="12" t="inlineStr">
        <is>
          <t>COGS</t>
        </is>
      </c>
      <c r="F284" s="12" t="inlineStr">
        <is>
          <t>Cost of Sales</t>
        </is>
      </c>
      <c r="G284" s="12" t="inlineStr">
        <is>
          <t>COGS</t>
        </is>
      </c>
      <c r="H284" s="12" t="inlineStr">
        <is>
          <t>Cost of Goods Sold</t>
        </is>
      </c>
      <c r="I284" s="13" t="n">
        <v>301444</v>
      </c>
    </row>
    <row r="285">
      <c r="A285" s="12" t="n">
        <v>8</v>
      </c>
      <c r="B285" s="12" t="inlineStr">
        <is>
          <t>Aug</t>
        </is>
      </c>
      <c r="C285" s="12" t="inlineStr">
        <is>
          <t>CHANNEL</t>
        </is>
      </c>
      <c r="D285" s="12" t="inlineStr">
        <is>
          <t>Distributor Channel</t>
        </is>
      </c>
      <c r="E285" s="12" t="inlineStr">
        <is>
          <t>COGS</t>
        </is>
      </c>
      <c r="F285" s="12" t="inlineStr">
        <is>
          <t>Cost of Sales</t>
        </is>
      </c>
      <c r="G285" s="12" t="inlineStr">
        <is>
          <t>COGS</t>
        </is>
      </c>
      <c r="H285" s="12" t="inlineStr">
        <is>
          <t>Cost of Goods Sold</t>
        </is>
      </c>
      <c r="I285" s="13" t="n">
        <v>164424</v>
      </c>
    </row>
    <row r="286">
      <c r="A286" s="12" t="n">
        <v>8</v>
      </c>
      <c r="B286" s="12" t="inlineStr">
        <is>
          <t>Aug</t>
        </is>
      </c>
      <c r="C286" s="12" t="inlineStr">
        <is>
          <t>SERVICE</t>
        </is>
      </c>
      <c r="D286" s="12" t="inlineStr">
        <is>
          <t>Service and Support</t>
        </is>
      </c>
      <c r="E286" s="12" t="inlineStr">
        <is>
          <t>COGS</t>
        </is>
      </c>
      <c r="F286" s="12" t="inlineStr">
        <is>
          <t>Cost of Sales</t>
        </is>
      </c>
      <c r="G286" s="12" t="inlineStr">
        <is>
          <t>COGS</t>
        </is>
      </c>
      <c r="H286" s="12" t="inlineStr">
        <is>
          <t>Cost of Goods Sold</t>
        </is>
      </c>
      <c r="I286" s="13" t="n">
        <v>82212</v>
      </c>
    </row>
    <row r="287">
      <c r="A287" s="12" t="n">
        <v>8</v>
      </c>
      <c r="B287" s="12" t="inlineStr">
        <is>
          <t>Aug</t>
        </is>
      </c>
      <c r="C287" s="12" t="inlineStr">
        <is>
          <t>SALES</t>
        </is>
      </c>
      <c r="D287" s="12" t="inlineStr">
        <is>
          <t>Direct Sales</t>
        </is>
      </c>
      <c r="E287" s="12" t="inlineStr">
        <is>
          <t>OPEX</t>
        </is>
      </c>
      <c r="F287" s="12" t="inlineStr">
        <is>
          <t>Operating Expenses</t>
        </is>
      </c>
      <c r="G287" s="12" t="inlineStr">
        <is>
          <t>SALARY</t>
        </is>
      </c>
      <c r="H287" s="12" t="inlineStr">
        <is>
          <t>Payroll</t>
        </is>
      </c>
      <c r="I287" s="13" t="n">
        <v>76670</v>
      </c>
    </row>
    <row r="288">
      <c r="A288" s="12" t="n">
        <v>8</v>
      </c>
      <c r="B288" s="12" t="inlineStr">
        <is>
          <t>Aug</t>
        </is>
      </c>
      <c r="C288" s="12" t="inlineStr">
        <is>
          <t>CHANNEL</t>
        </is>
      </c>
      <c r="D288" s="12" t="inlineStr">
        <is>
          <t>Distributor Channel</t>
        </is>
      </c>
      <c r="E288" s="12" t="inlineStr">
        <is>
          <t>OPEX</t>
        </is>
      </c>
      <c r="F288" s="12" t="inlineStr">
        <is>
          <t>Operating Expenses</t>
        </is>
      </c>
      <c r="G288" s="12" t="inlineStr">
        <is>
          <t>SALARY</t>
        </is>
      </c>
      <c r="H288" s="12" t="inlineStr">
        <is>
          <t>Payroll</t>
        </is>
      </c>
      <c r="I288" s="13" t="n">
        <v>41820</v>
      </c>
    </row>
    <row r="289">
      <c r="A289" s="12" t="n">
        <v>8</v>
      </c>
      <c r="B289" s="12" t="inlineStr">
        <is>
          <t>Aug</t>
        </is>
      </c>
      <c r="C289" s="12" t="inlineStr">
        <is>
          <t>SERVICE</t>
        </is>
      </c>
      <c r="D289" s="12" t="inlineStr">
        <is>
          <t>Service and Support</t>
        </is>
      </c>
      <c r="E289" s="12" t="inlineStr">
        <is>
          <t>OPEX</t>
        </is>
      </c>
      <c r="F289" s="12" t="inlineStr">
        <is>
          <t>Operating Expenses</t>
        </is>
      </c>
      <c r="G289" s="12" t="inlineStr">
        <is>
          <t>SALARY</t>
        </is>
      </c>
      <c r="H289" s="12" t="inlineStr">
        <is>
          <t>Payroll</t>
        </is>
      </c>
      <c r="I289" s="13" t="n">
        <v>20910</v>
      </c>
    </row>
    <row r="290">
      <c r="A290" s="12" t="n">
        <v>8</v>
      </c>
      <c r="B290" s="12" t="inlineStr">
        <is>
          <t>Aug</t>
        </is>
      </c>
      <c r="C290" s="12" t="inlineStr">
        <is>
          <t>SALES</t>
        </is>
      </c>
      <c r="D290" s="12" t="inlineStr">
        <is>
          <t>Direct Sales</t>
        </is>
      </c>
      <c r="E290" s="12" t="inlineStr">
        <is>
          <t>OPEX</t>
        </is>
      </c>
      <c r="F290" s="12" t="inlineStr">
        <is>
          <t>Operating Expenses</t>
        </is>
      </c>
      <c r="G290" s="12" t="inlineStr">
        <is>
          <t>RENT</t>
        </is>
      </c>
      <c r="H290" s="12" t="inlineStr">
        <is>
          <t>Rent and Facilities</t>
        </is>
      </c>
      <c r="I290" s="13" t="n">
        <v>9156</v>
      </c>
    </row>
    <row r="291">
      <c r="A291" s="12" t="n">
        <v>8</v>
      </c>
      <c r="B291" s="12" t="inlineStr">
        <is>
          <t>Aug</t>
        </is>
      </c>
      <c r="C291" s="12" t="inlineStr">
        <is>
          <t>CHANNEL</t>
        </is>
      </c>
      <c r="D291" s="12" t="inlineStr">
        <is>
          <t>Distributor Channel</t>
        </is>
      </c>
      <c r="E291" s="12" t="inlineStr">
        <is>
          <t>OPEX</t>
        </is>
      </c>
      <c r="F291" s="12" t="inlineStr">
        <is>
          <t>Operating Expenses</t>
        </is>
      </c>
      <c r="G291" s="12" t="inlineStr">
        <is>
          <t>RENT</t>
        </is>
      </c>
      <c r="H291" s="12" t="inlineStr">
        <is>
          <t>Rent and Facilities</t>
        </is>
      </c>
      <c r="I291" s="13" t="n">
        <v>8886</v>
      </c>
    </row>
    <row r="292">
      <c r="A292" s="12" t="n">
        <v>8</v>
      </c>
      <c r="B292" s="12" t="inlineStr">
        <is>
          <t>Aug</t>
        </is>
      </c>
      <c r="C292" s="12" t="inlineStr">
        <is>
          <t>SERVICE</t>
        </is>
      </c>
      <c r="D292" s="12" t="inlineStr">
        <is>
          <t>Service and Support</t>
        </is>
      </c>
      <c r="E292" s="12" t="inlineStr">
        <is>
          <t>OPEX</t>
        </is>
      </c>
      <c r="F292" s="12" t="inlineStr">
        <is>
          <t>Operating Expenses</t>
        </is>
      </c>
      <c r="G292" s="12" t="inlineStr">
        <is>
          <t>RENT</t>
        </is>
      </c>
      <c r="H292" s="12" t="inlineStr">
        <is>
          <t>Rent and Facilities</t>
        </is>
      </c>
      <c r="I292" s="13" t="n">
        <v>8886</v>
      </c>
    </row>
    <row r="293">
      <c r="A293" s="12" t="n">
        <v>8</v>
      </c>
      <c r="B293" s="12" t="inlineStr">
        <is>
          <t>Aug</t>
        </is>
      </c>
      <c r="C293" s="12" t="inlineStr">
        <is>
          <t>SALES</t>
        </is>
      </c>
      <c r="D293" s="12" t="inlineStr">
        <is>
          <t>Direct Sales</t>
        </is>
      </c>
      <c r="E293" s="12" t="inlineStr">
        <is>
          <t>OPEX</t>
        </is>
      </c>
      <c r="F293" s="12" t="inlineStr">
        <is>
          <t>Operating Expenses</t>
        </is>
      </c>
      <c r="G293" s="12" t="inlineStr">
        <is>
          <t>VEHICLE</t>
        </is>
      </c>
      <c r="H293" s="12" t="inlineStr">
        <is>
          <t>Vehicle</t>
        </is>
      </c>
      <c r="I293" s="13" t="n">
        <v>8004</v>
      </c>
    </row>
    <row r="294">
      <c r="A294" s="12" t="n">
        <v>8</v>
      </c>
      <c r="B294" s="12" t="inlineStr">
        <is>
          <t>Aug</t>
        </is>
      </c>
      <c r="C294" s="12" t="inlineStr">
        <is>
          <t>CHANNEL</t>
        </is>
      </c>
      <c r="D294" s="12" t="inlineStr">
        <is>
          <t>Distributor Channel</t>
        </is>
      </c>
      <c r="E294" s="12" t="inlineStr">
        <is>
          <t>OPEX</t>
        </is>
      </c>
      <c r="F294" s="12" t="inlineStr">
        <is>
          <t>Operating Expenses</t>
        </is>
      </c>
      <c r="G294" s="12" t="inlineStr">
        <is>
          <t>VEHICLE</t>
        </is>
      </c>
      <c r="H294" s="12" t="inlineStr">
        <is>
          <t>Vehicle</t>
        </is>
      </c>
      <c r="I294" s="13" t="n">
        <v>4366</v>
      </c>
    </row>
    <row r="295">
      <c r="A295" s="12" t="n">
        <v>8</v>
      </c>
      <c r="B295" s="12" t="inlineStr">
        <is>
          <t>Aug</t>
        </is>
      </c>
      <c r="C295" s="12" t="inlineStr">
        <is>
          <t>SERVICE</t>
        </is>
      </c>
      <c r="D295" s="12" t="inlineStr">
        <is>
          <t>Service and Support</t>
        </is>
      </c>
      <c r="E295" s="12" t="inlineStr">
        <is>
          <t>OPEX</t>
        </is>
      </c>
      <c r="F295" s="12" t="inlineStr">
        <is>
          <t>Operating Expenses</t>
        </is>
      </c>
      <c r="G295" s="12" t="inlineStr">
        <is>
          <t>VEHICLE</t>
        </is>
      </c>
      <c r="H295" s="12" t="inlineStr">
        <is>
          <t>Vehicle</t>
        </is>
      </c>
      <c r="I295" s="13" t="n">
        <v>2183</v>
      </c>
    </row>
    <row r="296">
      <c r="A296" s="12" t="n">
        <v>8</v>
      </c>
      <c r="B296" s="12" t="inlineStr">
        <is>
          <t>Aug</t>
        </is>
      </c>
      <c r="C296" s="12" t="inlineStr">
        <is>
          <t>SALES</t>
        </is>
      </c>
      <c r="D296" s="12" t="inlineStr">
        <is>
          <t>Direct Sales</t>
        </is>
      </c>
      <c r="E296" s="12" t="inlineStr">
        <is>
          <t>OPEX</t>
        </is>
      </c>
      <c r="F296" s="12" t="inlineStr">
        <is>
          <t>Operating Expenses</t>
        </is>
      </c>
      <c r="G296" s="12" t="inlineStr">
        <is>
          <t>MARKETING</t>
        </is>
      </c>
      <c r="H296" s="12" t="inlineStr">
        <is>
          <t>Marketing</t>
        </is>
      </c>
      <c r="I296" s="13" t="n">
        <v>12342</v>
      </c>
    </row>
    <row r="297">
      <c r="A297" s="12" t="n">
        <v>8</v>
      </c>
      <c r="B297" s="12" t="inlineStr">
        <is>
          <t>Aug</t>
        </is>
      </c>
      <c r="C297" s="12" t="inlineStr">
        <is>
          <t>CHANNEL</t>
        </is>
      </c>
      <c r="D297" s="12" t="inlineStr">
        <is>
          <t>Distributor Channel</t>
        </is>
      </c>
      <c r="E297" s="12" t="inlineStr">
        <is>
          <t>OPEX</t>
        </is>
      </c>
      <c r="F297" s="12" t="inlineStr">
        <is>
          <t>Operating Expenses</t>
        </is>
      </c>
      <c r="G297" s="12" t="inlineStr">
        <is>
          <t>MARKETING</t>
        </is>
      </c>
      <c r="H297" s="12" t="inlineStr">
        <is>
          <t>Marketing</t>
        </is>
      </c>
      <c r="I297" s="13" t="n">
        <v>6732</v>
      </c>
    </row>
    <row r="298">
      <c r="A298" s="12" t="n">
        <v>8</v>
      </c>
      <c r="B298" s="12" t="inlineStr">
        <is>
          <t>Aug</t>
        </is>
      </c>
      <c r="C298" s="12" t="inlineStr">
        <is>
          <t>SERVICE</t>
        </is>
      </c>
      <c r="D298" s="12" t="inlineStr">
        <is>
          <t>Service and Support</t>
        </is>
      </c>
      <c r="E298" s="12" t="inlineStr">
        <is>
          <t>OPEX</t>
        </is>
      </c>
      <c r="F298" s="12" t="inlineStr">
        <is>
          <t>Operating Expenses</t>
        </is>
      </c>
      <c r="G298" s="12" t="inlineStr">
        <is>
          <t>MARKETING</t>
        </is>
      </c>
      <c r="H298" s="12" t="inlineStr">
        <is>
          <t>Marketing</t>
        </is>
      </c>
      <c r="I298" s="13" t="n">
        <v>3366</v>
      </c>
    </row>
    <row r="299">
      <c r="A299" s="12" t="n">
        <v>8</v>
      </c>
      <c r="B299" s="12" t="inlineStr">
        <is>
          <t>Aug</t>
        </is>
      </c>
      <c r="C299" s="12" t="inlineStr">
        <is>
          <t>SALES</t>
        </is>
      </c>
      <c r="D299" s="12" t="inlineStr">
        <is>
          <t>Direct Sales</t>
        </is>
      </c>
      <c r="E299" s="12" t="inlineStr">
        <is>
          <t>OPEX</t>
        </is>
      </c>
      <c r="F299" s="12" t="inlineStr">
        <is>
          <t>Operating Expenses</t>
        </is>
      </c>
      <c r="G299" s="12" t="inlineStr">
        <is>
          <t>ENTERTAIN</t>
        </is>
      </c>
      <c r="H299" s="12" t="inlineStr">
        <is>
          <t>Entertainment</t>
        </is>
      </c>
      <c r="I299" s="13" t="n">
        <v>1795</v>
      </c>
    </row>
    <row r="300">
      <c r="A300" s="12" t="n">
        <v>8</v>
      </c>
      <c r="B300" s="12" t="inlineStr">
        <is>
          <t>Aug</t>
        </is>
      </c>
      <c r="C300" s="12" t="inlineStr">
        <is>
          <t>CHANNEL</t>
        </is>
      </c>
      <c r="D300" s="12" t="inlineStr">
        <is>
          <t>Distributor Channel</t>
        </is>
      </c>
      <c r="E300" s="12" t="inlineStr">
        <is>
          <t>OPEX</t>
        </is>
      </c>
      <c r="F300" s="12" t="inlineStr">
        <is>
          <t>Operating Expenses</t>
        </is>
      </c>
      <c r="G300" s="12" t="inlineStr">
        <is>
          <t>ENTERTAIN</t>
        </is>
      </c>
      <c r="H300" s="12" t="inlineStr">
        <is>
          <t>Entertainment</t>
        </is>
      </c>
      <c r="I300" s="13" t="n">
        <v>979</v>
      </c>
    </row>
    <row r="301">
      <c r="A301" s="12" t="n">
        <v>8</v>
      </c>
      <c r="B301" s="12" t="inlineStr">
        <is>
          <t>Aug</t>
        </is>
      </c>
      <c r="C301" s="12" t="inlineStr">
        <is>
          <t>SERVICE</t>
        </is>
      </c>
      <c r="D301" s="12" t="inlineStr">
        <is>
          <t>Service and Support</t>
        </is>
      </c>
      <c r="E301" s="12" t="inlineStr">
        <is>
          <t>OPEX</t>
        </is>
      </c>
      <c r="F301" s="12" t="inlineStr">
        <is>
          <t>Operating Expenses</t>
        </is>
      </c>
      <c r="G301" s="12" t="inlineStr">
        <is>
          <t>ENTERTAIN</t>
        </is>
      </c>
      <c r="H301" s="12" t="inlineStr">
        <is>
          <t>Entertainment</t>
        </is>
      </c>
      <c r="I301" s="13" t="n">
        <v>490</v>
      </c>
    </row>
    <row r="302">
      <c r="A302" s="12" t="n">
        <v>8</v>
      </c>
      <c r="B302" s="12" t="inlineStr">
        <is>
          <t>Aug</t>
        </is>
      </c>
      <c r="C302" s="12" t="inlineStr">
        <is>
          <t>SALES</t>
        </is>
      </c>
      <c r="D302" s="12" t="inlineStr">
        <is>
          <t>Direct Sales</t>
        </is>
      </c>
      <c r="E302" s="12" t="inlineStr">
        <is>
          <t>OPEX</t>
        </is>
      </c>
      <c r="F302" s="12" t="inlineStr">
        <is>
          <t>Operating Expenses</t>
        </is>
      </c>
      <c r="G302" s="12" t="inlineStr">
        <is>
          <t>OFFICE</t>
        </is>
      </c>
      <c r="H302" s="12" t="inlineStr">
        <is>
          <t>Office</t>
        </is>
      </c>
      <c r="I302" s="13" t="n">
        <v>4712</v>
      </c>
    </row>
    <row r="303">
      <c r="A303" s="12" t="n">
        <v>8</v>
      </c>
      <c r="B303" s="12" t="inlineStr">
        <is>
          <t>Aug</t>
        </is>
      </c>
      <c r="C303" s="12" t="inlineStr">
        <is>
          <t>CHANNEL</t>
        </is>
      </c>
      <c r="D303" s="12" t="inlineStr">
        <is>
          <t>Distributor Channel</t>
        </is>
      </c>
      <c r="E303" s="12" t="inlineStr">
        <is>
          <t>OPEX</t>
        </is>
      </c>
      <c r="F303" s="12" t="inlineStr">
        <is>
          <t>Operating Expenses</t>
        </is>
      </c>
      <c r="G303" s="12" t="inlineStr">
        <is>
          <t>OFFICE</t>
        </is>
      </c>
      <c r="H303" s="12" t="inlineStr">
        <is>
          <t>Office</t>
        </is>
      </c>
      <c r="I303" s="13" t="n">
        <v>2570</v>
      </c>
    </row>
    <row r="304">
      <c r="A304" s="12" t="n">
        <v>8</v>
      </c>
      <c r="B304" s="12" t="inlineStr">
        <is>
          <t>Aug</t>
        </is>
      </c>
      <c r="C304" s="12" t="inlineStr">
        <is>
          <t>SERVICE</t>
        </is>
      </c>
      <c r="D304" s="12" t="inlineStr">
        <is>
          <t>Service and Support</t>
        </is>
      </c>
      <c r="E304" s="12" t="inlineStr">
        <is>
          <t>OPEX</t>
        </is>
      </c>
      <c r="F304" s="12" t="inlineStr">
        <is>
          <t>Operating Expenses</t>
        </is>
      </c>
      <c r="G304" s="12" t="inlineStr">
        <is>
          <t>OFFICE</t>
        </is>
      </c>
      <c r="H304" s="12" t="inlineStr">
        <is>
          <t>Office</t>
        </is>
      </c>
      <c r="I304" s="13" t="n">
        <v>1285</v>
      </c>
    </row>
    <row r="305">
      <c r="A305" s="12" t="n">
        <v>8</v>
      </c>
      <c r="B305" s="12" t="inlineStr">
        <is>
          <t>Aug</t>
        </is>
      </c>
      <c r="C305" s="12" t="inlineStr">
        <is>
          <t>SALES</t>
        </is>
      </c>
      <c r="D305" s="12" t="inlineStr">
        <is>
          <t>Direct Sales</t>
        </is>
      </c>
      <c r="E305" s="12" t="inlineStr">
        <is>
          <t>OPEX</t>
        </is>
      </c>
      <c r="F305" s="12" t="inlineStr">
        <is>
          <t>Operating Expenses</t>
        </is>
      </c>
      <c r="G305" s="12" t="inlineStr">
        <is>
          <t>MERCHANT</t>
        </is>
      </c>
      <c r="H305" s="12" t="inlineStr">
        <is>
          <t>Merchant Fees</t>
        </is>
      </c>
      <c r="I305" s="13" t="n">
        <v>5685</v>
      </c>
    </row>
    <row r="306">
      <c r="A306" s="12" t="n">
        <v>8</v>
      </c>
      <c r="B306" s="12" t="inlineStr">
        <is>
          <t>Aug</t>
        </is>
      </c>
      <c r="C306" s="12" t="inlineStr">
        <is>
          <t>CHANNEL</t>
        </is>
      </c>
      <c r="D306" s="12" t="inlineStr">
        <is>
          <t>Distributor Channel</t>
        </is>
      </c>
      <c r="E306" s="12" t="inlineStr">
        <is>
          <t>OPEX</t>
        </is>
      </c>
      <c r="F306" s="12" t="inlineStr">
        <is>
          <t>Operating Expenses</t>
        </is>
      </c>
      <c r="G306" s="12" t="inlineStr">
        <is>
          <t>MERCHANT</t>
        </is>
      </c>
      <c r="H306" s="12" t="inlineStr">
        <is>
          <t>Merchant Fees</t>
        </is>
      </c>
      <c r="I306" s="13" t="n">
        <v>3101</v>
      </c>
    </row>
    <row r="307">
      <c r="A307" s="12" t="n">
        <v>8</v>
      </c>
      <c r="B307" s="12" t="inlineStr">
        <is>
          <t>Aug</t>
        </is>
      </c>
      <c r="C307" s="12" t="inlineStr">
        <is>
          <t>SERVICE</t>
        </is>
      </c>
      <c r="D307" s="12" t="inlineStr">
        <is>
          <t>Service and Support</t>
        </is>
      </c>
      <c r="E307" s="12" t="inlineStr">
        <is>
          <t>OPEX</t>
        </is>
      </c>
      <c r="F307" s="12" t="inlineStr">
        <is>
          <t>Operating Expenses</t>
        </is>
      </c>
      <c r="G307" s="12" t="inlineStr">
        <is>
          <t>MERCHANT</t>
        </is>
      </c>
      <c r="H307" s="12" t="inlineStr">
        <is>
          <t>Merchant Fees</t>
        </is>
      </c>
      <c r="I307" s="13" t="n">
        <v>1550</v>
      </c>
    </row>
    <row r="308">
      <c r="A308" s="12" t="n">
        <v>8</v>
      </c>
      <c r="B308" s="12" t="inlineStr">
        <is>
          <t>Aug</t>
        </is>
      </c>
      <c r="C308" s="12" t="inlineStr">
        <is>
          <t>SALES</t>
        </is>
      </c>
      <c r="D308" s="12" t="inlineStr">
        <is>
          <t>Direct Sales</t>
        </is>
      </c>
      <c r="E308" s="12" t="inlineStr">
        <is>
          <t>OPEX</t>
        </is>
      </c>
      <c r="F308" s="12" t="inlineStr">
        <is>
          <t>Operating Expenses</t>
        </is>
      </c>
      <c r="G308" s="12" t="inlineStr">
        <is>
          <t>PROFSVC</t>
        </is>
      </c>
      <c r="H308" s="12" t="inlineStr">
        <is>
          <t>Professional Fees</t>
        </is>
      </c>
      <c r="I308" s="13" t="n">
        <v>4413</v>
      </c>
    </row>
    <row r="309">
      <c r="A309" s="12" t="n">
        <v>8</v>
      </c>
      <c r="B309" s="12" t="inlineStr">
        <is>
          <t>Aug</t>
        </is>
      </c>
      <c r="C309" s="12" t="inlineStr">
        <is>
          <t>CHANNEL</t>
        </is>
      </c>
      <c r="D309" s="12" t="inlineStr">
        <is>
          <t>Distributor Channel</t>
        </is>
      </c>
      <c r="E309" s="12" t="inlineStr">
        <is>
          <t>OPEX</t>
        </is>
      </c>
      <c r="F309" s="12" t="inlineStr">
        <is>
          <t>Operating Expenses</t>
        </is>
      </c>
      <c r="G309" s="12" t="inlineStr">
        <is>
          <t>PROFSVC</t>
        </is>
      </c>
      <c r="H309" s="12" t="inlineStr">
        <is>
          <t>Professional Fees</t>
        </is>
      </c>
      <c r="I309" s="13" t="n">
        <v>2407</v>
      </c>
    </row>
    <row r="310">
      <c r="A310" s="12" t="n">
        <v>8</v>
      </c>
      <c r="B310" s="12" t="inlineStr">
        <is>
          <t>Aug</t>
        </is>
      </c>
      <c r="C310" s="12" t="inlineStr">
        <is>
          <t>SERVICE</t>
        </is>
      </c>
      <c r="D310" s="12" t="inlineStr">
        <is>
          <t>Service and Support</t>
        </is>
      </c>
      <c r="E310" s="12" t="inlineStr">
        <is>
          <t>OPEX</t>
        </is>
      </c>
      <c r="F310" s="12" t="inlineStr">
        <is>
          <t>Operating Expenses</t>
        </is>
      </c>
      <c r="G310" s="12" t="inlineStr">
        <is>
          <t>PROFSVC</t>
        </is>
      </c>
      <c r="H310" s="12" t="inlineStr">
        <is>
          <t>Professional Fees</t>
        </is>
      </c>
      <c r="I310" s="13" t="n">
        <v>1204</v>
      </c>
    </row>
    <row r="311">
      <c r="A311" s="12" t="n">
        <v>8</v>
      </c>
      <c r="B311" s="12" t="inlineStr">
        <is>
          <t>Aug</t>
        </is>
      </c>
      <c r="C311" s="12" t="inlineStr">
        <is>
          <t>SALES</t>
        </is>
      </c>
      <c r="D311" s="12" t="inlineStr">
        <is>
          <t>Direct Sales</t>
        </is>
      </c>
      <c r="E311" s="12" t="inlineStr">
        <is>
          <t>OPEX</t>
        </is>
      </c>
      <c r="F311" s="12" t="inlineStr">
        <is>
          <t>Operating Expenses</t>
        </is>
      </c>
      <c r="G311" s="12" t="inlineStr">
        <is>
          <t>DEPREC</t>
        </is>
      </c>
      <c r="H311" s="12" t="inlineStr">
        <is>
          <t>Depreciation</t>
        </is>
      </c>
      <c r="I311" s="13" t="n">
        <v>4162</v>
      </c>
    </row>
    <row r="312">
      <c r="A312" s="12" t="n">
        <v>8</v>
      </c>
      <c r="B312" s="12" t="inlineStr">
        <is>
          <t>Aug</t>
        </is>
      </c>
      <c r="C312" s="12" t="inlineStr">
        <is>
          <t>CHANNEL</t>
        </is>
      </c>
      <c r="D312" s="12" t="inlineStr">
        <is>
          <t>Distributor Channel</t>
        </is>
      </c>
      <c r="E312" s="12" t="inlineStr">
        <is>
          <t>OPEX</t>
        </is>
      </c>
      <c r="F312" s="12" t="inlineStr">
        <is>
          <t>Operating Expenses</t>
        </is>
      </c>
      <c r="G312" s="12" t="inlineStr">
        <is>
          <t>DEPREC</t>
        </is>
      </c>
      <c r="H312" s="12" t="inlineStr">
        <is>
          <t>Depreciation</t>
        </is>
      </c>
      <c r="I312" s="13" t="n">
        <v>4039</v>
      </c>
    </row>
    <row r="313">
      <c r="A313" s="12" t="n">
        <v>8</v>
      </c>
      <c r="B313" s="12" t="inlineStr">
        <is>
          <t>Aug</t>
        </is>
      </c>
      <c r="C313" s="12" t="inlineStr">
        <is>
          <t>SERVICE</t>
        </is>
      </c>
      <c r="D313" s="12" t="inlineStr">
        <is>
          <t>Service and Support</t>
        </is>
      </c>
      <c r="E313" s="12" t="inlineStr">
        <is>
          <t>OPEX</t>
        </is>
      </c>
      <c r="F313" s="12" t="inlineStr">
        <is>
          <t>Operating Expenses</t>
        </is>
      </c>
      <c r="G313" s="12" t="inlineStr">
        <is>
          <t>DEPREC</t>
        </is>
      </c>
      <c r="H313" s="12" t="inlineStr">
        <is>
          <t>Depreciation</t>
        </is>
      </c>
      <c r="I313" s="13" t="n">
        <v>4039</v>
      </c>
    </row>
    <row r="314">
      <c r="A314" s="12" t="n">
        <v>8</v>
      </c>
      <c r="B314" s="12" t="inlineStr">
        <is>
          <t>Aug</t>
        </is>
      </c>
      <c r="C314" s="12" t="inlineStr">
        <is>
          <t>SALES</t>
        </is>
      </c>
      <c r="D314" s="12" t="inlineStr">
        <is>
          <t>Direct Sales</t>
        </is>
      </c>
      <c r="E314" s="12" t="inlineStr">
        <is>
          <t>OPEX</t>
        </is>
      </c>
      <c r="F314" s="12" t="inlineStr">
        <is>
          <t>Operating Expenses</t>
        </is>
      </c>
      <c r="G314" s="12" t="inlineStr">
        <is>
          <t>FINANCE</t>
        </is>
      </c>
      <c r="H314" s="12" t="inlineStr">
        <is>
          <t>Finance Costs</t>
        </is>
      </c>
      <c r="I314" s="13" t="n">
        <v>2220</v>
      </c>
    </row>
    <row r="315">
      <c r="A315" s="12" t="n">
        <v>8</v>
      </c>
      <c r="B315" s="12" t="inlineStr">
        <is>
          <t>Aug</t>
        </is>
      </c>
      <c r="C315" s="12" t="inlineStr">
        <is>
          <t>CHANNEL</t>
        </is>
      </c>
      <c r="D315" s="12" t="inlineStr">
        <is>
          <t>Distributor Channel</t>
        </is>
      </c>
      <c r="E315" s="12" t="inlineStr">
        <is>
          <t>OPEX</t>
        </is>
      </c>
      <c r="F315" s="12" t="inlineStr">
        <is>
          <t>Operating Expenses</t>
        </is>
      </c>
      <c r="G315" s="12" t="inlineStr">
        <is>
          <t>FINANCE</t>
        </is>
      </c>
      <c r="H315" s="12" t="inlineStr">
        <is>
          <t>Finance Costs</t>
        </is>
      </c>
      <c r="I315" s="13" t="n">
        <v>2154</v>
      </c>
    </row>
    <row r="316">
      <c r="A316" s="12" t="n">
        <v>8</v>
      </c>
      <c r="B316" s="12" t="inlineStr">
        <is>
          <t>Aug</t>
        </is>
      </c>
      <c r="C316" s="12" t="inlineStr">
        <is>
          <t>SERVICE</t>
        </is>
      </c>
      <c r="D316" s="12" t="inlineStr">
        <is>
          <t>Service and Support</t>
        </is>
      </c>
      <c r="E316" s="12" t="inlineStr">
        <is>
          <t>OPEX</t>
        </is>
      </c>
      <c r="F316" s="12" t="inlineStr">
        <is>
          <t>Operating Expenses</t>
        </is>
      </c>
      <c r="G316" s="12" t="inlineStr">
        <is>
          <t>FINANCE</t>
        </is>
      </c>
      <c r="H316" s="12" t="inlineStr">
        <is>
          <t>Finance Costs</t>
        </is>
      </c>
      <c r="I316" s="13" t="n">
        <v>2154</v>
      </c>
    </row>
    <row r="317">
      <c r="A317" s="12" t="n">
        <v>9</v>
      </c>
      <c r="B317" s="12" t="inlineStr">
        <is>
          <t>Sep</t>
        </is>
      </c>
      <c r="C317" s="12" t="inlineStr">
        <is>
          <t>SALES</t>
        </is>
      </c>
      <c r="D317" s="12" t="inlineStr">
        <is>
          <t>Direct Sales</t>
        </is>
      </c>
      <c r="E317" s="12" t="inlineStr">
        <is>
          <t>REVENUE</t>
        </is>
      </c>
      <c r="F317" s="12" t="inlineStr">
        <is>
          <t>Revenue</t>
        </is>
      </c>
      <c r="G317" s="12" t="inlineStr">
        <is>
          <t>REVENUE_PROD</t>
        </is>
      </c>
      <c r="H317" s="12" t="inlineStr">
        <is>
          <t>Product Revenue</t>
        </is>
      </c>
      <c r="I317" s="13" t="n">
        <v>627440</v>
      </c>
    </row>
    <row r="318">
      <c r="A318" s="12" t="n">
        <v>9</v>
      </c>
      <c r="B318" s="12" t="inlineStr">
        <is>
          <t>Sep</t>
        </is>
      </c>
      <c r="C318" s="12" t="inlineStr">
        <is>
          <t>CHANNEL</t>
        </is>
      </c>
      <c r="D318" s="12" t="inlineStr">
        <is>
          <t>Distributor Channel</t>
        </is>
      </c>
      <c r="E318" s="12" t="inlineStr">
        <is>
          <t>REVENUE</t>
        </is>
      </c>
      <c r="F318" s="12" t="inlineStr">
        <is>
          <t>Revenue</t>
        </is>
      </c>
      <c r="G318" s="12" t="inlineStr">
        <is>
          <t>REVENUE_PROD</t>
        </is>
      </c>
      <c r="H318" s="12" t="inlineStr">
        <is>
          <t>Product Revenue</t>
        </is>
      </c>
      <c r="I318" s="13" t="n">
        <v>342240</v>
      </c>
    </row>
    <row r="319">
      <c r="A319" s="12" t="n">
        <v>9</v>
      </c>
      <c r="B319" s="12" t="inlineStr">
        <is>
          <t>Sep</t>
        </is>
      </c>
      <c r="C319" s="12" t="inlineStr">
        <is>
          <t>SERVICE</t>
        </is>
      </c>
      <c r="D319" s="12" t="inlineStr">
        <is>
          <t>Service and Support</t>
        </is>
      </c>
      <c r="E319" s="12" t="inlineStr">
        <is>
          <t>REVENUE</t>
        </is>
      </c>
      <c r="F319" s="12" t="inlineStr">
        <is>
          <t>Revenue</t>
        </is>
      </c>
      <c r="G319" s="12" t="inlineStr">
        <is>
          <t>REVENUE_PROD</t>
        </is>
      </c>
      <c r="H319" s="12" t="inlineStr">
        <is>
          <t>Product Revenue</t>
        </is>
      </c>
      <c r="I319" s="13" t="n">
        <v>171120</v>
      </c>
    </row>
    <row r="320">
      <c r="A320" s="12" t="n">
        <v>9</v>
      </c>
      <c r="B320" s="12" t="inlineStr">
        <is>
          <t>Sep</t>
        </is>
      </c>
      <c r="C320" s="12" t="inlineStr">
        <is>
          <t>SALES</t>
        </is>
      </c>
      <c r="D320" s="12" t="inlineStr">
        <is>
          <t>Direct Sales</t>
        </is>
      </c>
      <c r="E320" s="12" t="inlineStr">
        <is>
          <t>REVENUE</t>
        </is>
      </c>
      <c r="F320" s="12" t="inlineStr">
        <is>
          <t>Revenue</t>
        </is>
      </c>
      <c r="G320" s="12" t="inlineStr">
        <is>
          <t>REVENUE_SVC</t>
        </is>
      </c>
      <c r="H320" s="12" t="inlineStr">
        <is>
          <t>Service Revenue</t>
        </is>
      </c>
      <c r="I320" s="13" t="n">
        <v>5290</v>
      </c>
    </row>
    <row r="321">
      <c r="A321" s="12" t="n">
        <v>9</v>
      </c>
      <c r="B321" s="12" t="inlineStr">
        <is>
          <t>Sep</t>
        </is>
      </c>
      <c r="C321" s="12" t="inlineStr">
        <is>
          <t>CHANNEL</t>
        </is>
      </c>
      <c r="D321" s="12" t="inlineStr">
        <is>
          <t>Distributor Channel</t>
        </is>
      </c>
      <c r="E321" s="12" t="inlineStr">
        <is>
          <t>REVENUE</t>
        </is>
      </c>
      <c r="F321" s="12" t="inlineStr">
        <is>
          <t>Revenue</t>
        </is>
      </c>
      <c r="G321" s="12" t="inlineStr">
        <is>
          <t>REVENUE_SVC</t>
        </is>
      </c>
      <c r="H321" s="12" t="inlineStr">
        <is>
          <t>Service Revenue</t>
        </is>
      </c>
      <c r="I321" s="13" t="n">
        <v>5290</v>
      </c>
    </row>
    <row r="322">
      <c r="A322" s="12" t="n">
        <v>9</v>
      </c>
      <c r="B322" s="12" t="inlineStr">
        <is>
          <t>Sep</t>
        </is>
      </c>
      <c r="C322" s="12" t="inlineStr">
        <is>
          <t>SERVICE</t>
        </is>
      </c>
      <c r="D322" s="12" t="inlineStr">
        <is>
          <t>Service and Support</t>
        </is>
      </c>
      <c r="E322" s="12" t="inlineStr">
        <is>
          <t>REVENUE</t>
        </is>
      </c>
      <c r="F322" s="12" t="inlineStr">
        <is>
          <t>Revenue</t>
        </is>
      </c>
      <c r="G322" s="12" t="inlineStr">
        <is>
          <t>REVENUE_SVC</t>
        </is>
      </c>
      <c r="H322" s="12" t="inlineStr">
        <is>
          <t>Service Revenue</t>
        </is>
      </c>
      <c r="I322" s="13" t="n">
        <v>95220</v>
      </c>
    </row>
    <row r="323">
      <c r="A323" s="12" t="n">
        <v>9</v>
      </c>
      <c r="B323" s="12" t="inlineStr">
        <is>
          <t>Sep</t>
        </is>
      </c>
      <c r="C323" s="12" t="inlineStr">
        <is>
          <t>SALES</t>
        </is>
      </c>
      <c r="D323" s="12" t="inlineStr">
        <is>
          <t>Direct Sales</t>
        </is>
      </c>
      <c r="E323" s="12" t="inlineStr">
        <is>
          <t>COGS</t>
        </is>
      </c>
      <c r="F323" s="12" t="inlineStr">
        <is>
          <t>Cost of Sales</t>
        </is>
      </c>
      <c r="G323" s="12" t="inlineStr">
        <is>
          <t>COGS</t>
        </is>
      </c>
      <c r="H323" s="12" t="inlineStr">
        <is>
          <t>Cost of Goods Sold</t>
        </is>
      </c>
      <c r="I323" s="13" t="n">
        <v>407836</v>
      </c>
    </row>
    <row r="324">
      <c r="A324" s="12" t="n">
        <v>9</v>
      </c>
      <c r="B324" s="12" t="inlineStr">
        <is>
          <t>Sep</t>
        </is>
      </c>
      <c r="C324" s="12" t="inlineStr">
        <is>
          <t>CHANNEL</t>
        </is>
      </c>
      <c r="D324" s="12" t="inlineStr">
        <is>
          <t>Distributor Channel</t>
        </is>
      </c>
      <c r="E324" s="12" t="inlineStr">
        <is>
          <t>COGS</t>
        </is>
      </c>
      <c r="F324" s="12" t="inlineStr">
        <is>
          <t>Cost of Sales</t>
        </is>
      </c>
      <c r="G324" s="12" t="inlineStr">
        <is>
          <t>COGS</t>
        </is>
      </c>
      <c r="H324" s="12" t="inlineStr">
        <is>
          <t>Cost of Goods Sold</t>
        </is>
      </c>
      <c r="I324" s="13" t="n">
        <v>222456</v>
      </c>
    </row>
    <row r="325">
      <c r="A325" s="12" t="n">
        <v>9</v>
      </c>
      <c r="B325" s="12" t="inlineStr">
        <is>
          <t>Sep</t>
        </is>
      </c>
      <c r="C325" s="12" t="inlineStr">
        <is>
          <t>SERVICE</t>
        </is>
      </c>
      <c r="D325" s="12" t="inlineStr">
        <is>
          <t>Service and Support</t>
        </is>
      </c>
      <c r="E325" s="12" t="inlineStr">
        <is>
          <t>COGS</t>
        </is>
      </c>
      <c r="F325" s="12" t="inlineStr">
        <is>
          <t>Cost of Sales</t>
        </is>
      </c>
      <c r="G325" s="12" t="inlineStr">
        <is>
          <t>COGS</t>
        </is>
      </c>
      <c r="H325" s="12" t="inlineStr">
        <is>
          <t>Cost of Goods Sold</t>
        </is>
      </c>
      <c r="I325" s="13" t="n">
        <v>111228</v>
      </c>
    </row>
    <row r="326">
      <c r="A326" s="12" t="n">
        <v>9</v>
      </c>
      <c r="B326" s="12" t="inlineStr">
        <is>
          <t>Sep</t>
        </is>
      </c>
      <c r="C326" s="12" t="inlineStr">
        <is>
          <t>SALES</t>
        </is>
      </c>
      <c r="D326" s="12" t="inlineStr">
        <is>
          <t>Direct Sales</t>
        </is>
      </c>
      <c r="E326" s="12" t="inlineStr">
        <is>
          <t>OPEX</t>
        </is>
      </c>
      <c r="F326" s="12" t="inlineStr">
        <is>
          <t>Operating Expenses</t>
        </is>
      </c>
      <c r="G326" s="12" t="inlineStr">
        <is>
          <t>SALARY</t>
        </is>
      </c>
      <c r="H326" s="12" t="inlineStr">
        <is>
          <t>Payroll</t>
        </is>
      </c>
      <c r="I326" s="13" t="n">
        <v>103730</v>
      </c>
    </row>
    <row r="327">
      <c r="A327" s="12" t="n">
        <v>9</v>
      </c>
      <c r="B327" s="12" t="inlineStr">
        <is>
          <t>Sep</t>
        </is>
      </c>
      <c r="C327" s="12" t="inlineStr">
        <is>
          <t>CHANNEL</t>
        </is>
      </c>
      <c r="D327" s="12" t="inlineStr">
        <is>
          <t>Distributor Channel</t>
        </is>
      </c>
      <c r="E327" s="12" t="inlineStr">
        <is>
          <t>OPEX</t>
        </is>
      </c>
      <c r="F327" s="12" t="inlineStr">
        <is>
          <t>Operating Expenses</t>
        </is>
      </c>
      <c r="G327" s="12" t="inlineStr">
        <is>
          <t>SALARY</t>
        </is>
      </c>
      <c r="H327" s="12" t="inlineStr">
        <is>
          <t>Payroll</t>
        </is>
      </c>
      <c r="I327" s="13" t="n">
        <v>56580</v>
      </c>
    </row>
    <row r="328">
      <c r="A328" s="12" t="n">
        <v>9</v>
      </c>
      <c r="B328" s="12" t="inlineStr">
        <is>
          <t>Sep</t>
        </is>
      </c>
      <c r="C328" s="12" t="inlineStr">
        <is>
          <t>SERVICE</t>
        </is>
      </c>
      <c r="D328" s="12" t="inlineStr">
        <is>
          <t>Service and Support</t>
        </is>
      </c>
      <c r="E328" s="12" t="inlineStr">
        <is>
          <t>OPEX</t>
        </is>
      </c>
      <c r="F328" s="12" t="inlineStr">
        <is>
          <t>Operating Expenses</t>
        </is>
      </c>
      <c r="G328" s="12" t="inlineStr">
        <is>
          <t>SALARY</t>
        </is>
      </c>
      <c r="H328" s="12" t="inlineStr">
        <is>
          <t>Payroll</t>
        </is>
      </c>
      <c r="I328" s="13" t="n">
        <v>28290</v>
      </c>
    </row>
    <row r="329">
      <c r="A329" s="12" t="n">
        <v>9</v>
      </c>
      <c r="B329" s="12" t="inlineStr">
        <is>
          <t>Sep</t>
        </is>
      </c>
      <c r="C329" s="12" t="inlineStr">
        <is>
          <t>SALES</t>
        </is>
      </c>
      <c r="D329" s="12" t="inlineStr">
        <is>
          <t>Direct Sales</t>
        </is>
      </c>
      <c r="E329" s="12" t="inlineStr">
        <is>
          <t>OPEX</t>
        </is>
      </c>
      <c r="F329" s="12" t="inlineStr">
        <is>
          <t>Operating Expenses</t>
        </is>
      </c>
      <c r="G329" s="12" t="inlineStr">
        <is>
          <t>RENT</t>
        </is>
      </c>
      <c r="H329" s="12" t="inlineStr">
        <is>
          <t>Rent and Facilities</t>
        </is>
      </c>
      <c r="I329" s="13" t="n">
        <v>12387</v>
      </c>
    </row>
    <row r="330">
      <c r="A330" s="12" t="n">
        <v>9</v>
      </c>
      <c r="B330" s="12" t="inlineStr">
        <is>
          <t>Sep</t>
        </is>
      </c>
      <c r="C330" s="12" t="inlineStr">
        <is>
          <t>CHANNEL</t>
        </is>
      </c>
      <c r="D330" s="12" t="inlineStr">
        <is>
          <t>Distributor Channel</t>
        </is>
      </c>
      <c r="E330" s="12" t="inlineStr">
        <is>
          <t>OPEX</t>
        </is>
      </c>
      <c r="F330" s="12" t="inlineStr">
        <is>
          <t>Operating Expenses</t>
        </is>
      </c>
      <c r="G330" s="12" t="inlineStr">
        <is>
          <t>RENT</t>
        </is>
      </c>
      <c r="H330" s="12" t="inlineStr">
        <is>
          <t>Rent and Facilities</t>
        </is>
      </c>
      <c r="I330" s="13" t="n">
        <v>12023</v>
      </c>
    </row>
    <row r="331">
      <c r="A331" s="12" t="n">
        <v>9</v>
      </c>
      <c r="B331" s="12" t="inlineStr">
        <is>
          <t>Sep</t>
        </is>
      </c>
      <c r="C331" s="12" t="inlineStr">
        <is>
          <t>SERVICE</t>
        </is>
      </c>
      <c r="D331" s="12" t="inlineStr">
        <is>
          <t>Service and Support</t>
        </is>
      </c>
      <c r="E331" s="12" t="inlineStr">
        <is>
          <t>OPEX</t>
        </is>
      </c>
      <c r="F331" s="12" t="inlineStr">
        <is>
          <t>Operating Expenses</t>
        </is>
      </c>
      <c r="G331" s="12" t="inlineStr">
        <is>
          <t>RENT</t>
        </is>
      </c>
      <c r="H331" s="12" t="inlineStr">
        <is>
          <t>Rent and Facilities</t>
        </is>
      </c>
      <c r="I331" s="13" t="n">
        <v>12023</v>
      </c>
    </row>
    <row r="332">
      <c r="A332" s="12" t="n">
        <v>9</v>
      </c>
      <c r="B332" s="12" t="inlineStr">
        <is>
          <t>Sep</t>
        </is>
      </c>
      <c r="C332" s="12" t="inlineStr">
        <is>
          <t>SALES</t>
        </is>
      </c>
      <c r="D332" s="12" t="inlineStr">
        <is>
          <t>Direct Sales</t>
        </is>
      </c>
      <c r="E332" s="12" t="inlineStr">
        <is>
          <t>OPEX</t>
        </is>
      </c>
      <c r="F332" s="12" t="inlineStr">
        <is>
          <t>Operating Expenses</t>
        </is>
      </c>
      <c r="G332" s="12" t="inlineStr">
        <is>
          <t>VEHICLE</t>
        </is>
      </c>
      <c r="H332" s="12" t="inlineStr">
        <is>
          <t>Vehicle</t>
        </is>
      </c>
      <c r="I332" s="13" t="n">
        <v>10828</v>
      </c>
    </row>
    <row r="333">
      <c r="A333" s="12" t="n">
        <v>9</v>
      </c>
      <c r="B333" s="12" t="inlineStr">
        <is>
          <t>Sep</t>
        </is>
      </c>
      <c r="C333" s="12" t="inlineStr">
        <is>
          <t>CHANNEL</t>
        </is>
      </c>
      <c r="D333" s="12" t="inlineStr">
        <is>
          <t>Distributor Channel</t>
        </is>
      </c>
      <c r="E333" s="12" t="inlineStr">
        <is>
          <t>OPEX</t>
        </is>
      </c>
      <c r="F333" s="12" t="inlineStr">
        <is>
          <t>Operating Expenses</t>
        </is>
      </c>
      <c r="G333" s="12" t="inlineStr">
        <is>
          <t>VEHICLE</t>
        </is>
      </c>
      <c r="H333" s="12" t="inlineStr">
        <is>
          <t>Vehicle</t>
        </is>
      </c>
      <c r="I333" s="13" t="n">
        <v>5906</v>
      </c>
    </row>
    <row r="334">
      <c r="A334" s="12" t="n">
        <v>9</v>
      </c>
      <c r="B334" s="12" t="inlineStr">
        <is>
          <t>Sep</t>
        </is>
      </c>
      <c r="C334" s="12" t="inlineStr">
        <is>
          <t>SERVICE</t>
        </is>
      </c>
      <c r="D334" s="12" t="inlineStr">
        <is>
          <t>Service and Support</t>
        </is>
      </c>
      <c r="E334" s="12" t="inlineStr">
        <is>
          <t>OPEX</t>
        </is>
      </c>
      <c r="F334" s="12" t="inlineStr">
        <is>
          <t>Operating Expenses</t>
        </is>
      </c>
      <c r="G334" s="12" t="inlineStr">
        <is>
          <t>VEHICLE</t>
        </is>
      </c>
      <c r="H334" s="12" t="inlineStr">
        <is>
          <t>Vehicle</t>
        </is>
      </c>
      <c r="I334" s="13" t="n">
        <v>2953</v>
      </c>
    </row>
    <row r="335">
      <c r="A335" s="12" t="n">
        <v>9</v>
      </c>
      <c r="B335" s="12" t="inlineStr">
        <is>
          <t>Sep</t>
        </is>
      </c>
      <c r="C335" s="12" t="inlineStr">
        <is>
          <t>SALES</t>
        </is>
      </c>
      <c r="D335" s="12" t="inlineStr">
        <is>
          <t>Direct Sales</t>
        </is>
      </c>
      <c r="E335" s="12" t="inlineStr">
        <is>
          <t>OPEX</t>
        </is>
      </c>
      <c r="F335" s="12" t="inlineStr">
        <is>
          <t>Operating Expenses</t>
        </is>
      </c>
      <c r="G335" s="12" t="inlineStr">
        <is>
          <t>MARKETING</t>
        </is>
      </c>
      <c r="H335" s="12" t="inlineStr">
        <is>
          <t>Marketing</t>
        </is>
      </c>
      <c r="I335" s="13" t="n">
        <v>16698</v>
      </c>
    </row>
    <row r="336">
      <c r="A336" s="12" t="n">
        <v>9</v>
      </c>
      <c r="B336" s="12" t="inlineStr">
        <is>
          <t>Sep</t>
        </is>
      </c>
      <c r="C336" s="12" t="inlineStr">
        <is>
          <t>CHANNEL</t>
        </is>
      </c>
      <c r="D336" s="12" t="inlineStr">
        <is>
          <t>Distributor Channel</t>
        </is>
      </c>
      <c r="E336" s="12" t="inlineStr">
        <is>
          <t>OPEX</t>
        </is>
      </c>
      <c r="F336" s="12" t="inlineStr">
        <is>
          <t>Operating Expenses</t>
        </is>
      </c>
      <c r="G336" s="12" t="inlineStr">
        <is>
          <t>MARKETING</t>
        </is>
      </c>
      <c r="H336" s="12" t="inlineStr">
        <is>
          <t>Marketing</t>
        </is>
      </c>
      <c r="I336" s="13" t="n">
        <v>9108</v>
      </c>
    </row>
    <row r="337">
      <c r="A337" s="12" t="n">
        <v>9</v>
      </c>
      <c r="B337" s="12" t="inlineStr">
        <is>
          <t>Sep</t>
        </is>
      </c>
      <c r="C337" s="12" t="inlineStr">
        <is>
          <t>SERVICE</t>
        </is>
      </c>
      <c r="D337" s="12" t="inlineStr">
        <is>
          <t>Service and Support</t>
        </is>
      </c>
      <c r="E337" s="12" t="inlineStr">
        <is>
          <t>OPEX</t>
        </is>
      </c>
      <c r="F337" s="12" t="inlineStr">
        <is>
          <t>Operating Expenses</t>
        </is>
      </c>
      <c r="G337" s="12" t="inlineStr">
        <is>
          <t>MARKETING</t>
        </is>
      </c>
      <c r="H337" s="12" t="inlineStr">
        <is>
          <t>Marketing</t>
        </is>
      </c>
      <c r="I337" s="13" t="n">
        <v>4554</v>
      </c>
    </row>
    <row r="338">
      <c r="A338" s="12" t="n">
        <v>9</v>
      </c>
      <c r="B338" s="12" t="inlineStr">
        <is>
          <t>Sep</t>
        </is>
      </c>
      <c r="C338" s="12" t="inlineStr">
        <is>
          <t>SALES</t>
        </is>
      </c>
      <c r="D338" s="12" t="inlineStr">
        <is>
          <t>Direct Sales</t>
        </is>
      </c>
      <c r="E338" s="12" t="inlineStr">
        <is>
          <t>OPEX</t>
        </is>
      </c>
      <c r="F338" s="12" t="inlineStr">
        <is>
          <t>Operating Expenses</t>
        </is>
      </c>
      <c r="G338" s="12" t="inlineStr">
        <is>
          <t>ENTERTAIN</t>
        </is>
      </c>
      <c r="H338" s="12" t="inlineStr">
        <is>
          <t>Entertainment</t>
        </is>
      </c>
      <c r="I338" s="13" t="n">
        <v>2429</v>
      </c>
    </row>
    <row r="339">
      <c r="A339" s="12" t="n">
        <v>9</v>
      </c>
      <c r="B339" s="12" t="inlineStr">
        <is>
          <t>Sep</t>
        </is>
      </c>
      <c r="C339" s="12" t="inlineStr">
        <is>
          <t>CHANNEL</t>
        </is>
      </c>
      <c r="D339" s="12" t="inlineStr">
        <is>
          <t>Distributor Channel</t>
        </is>
      </c>
      <c r="E339" s="12" t="inlineStr">
        <is>
          <t>OPEX</t>
        </is>
      </c>
      <c r="F339" s="12" t="inlineStr">
        <is>
          <t>Operating Expenses</t>
        </is>
      </c>
      <c r="G339" s="12" t="inlineStr">
        <is>
          <t>ENTERTAIN</t>
        </is>
      </c>
      <c r="H339" s="12" t="inlineStr">
        <is>
          <t>Entertainment</t>
        </is>
      </c>
      <c r="I339" s="13" t="n">
        <v>1325</v>
      </c>
    </row>
    <row r="340">
      <c r="A340" s="12" t="n">
        <v>9</v>
      </c>
      <c r="B340" s="12" t="inlineStr">
        <is>
          <t>Sep</t>
        </is>
      </c>
      <c r="C340" s="12" t="inlineStr">
        <is>
          <t>SERVICE</t>
        </is>
      </c>
      <c r="D340" s="12" t="inlineStr">
        <is>
          <t>Service and Support</t>
        </is>
      </c>
      <c r="E340" s="12" t="inlineStr">
        <is>
          <t>OPEX</t>
        </is>
      </c>
      <c r="F340" s="12" t="inlineStr">
        <is>
          <t>Operating Expenses</t>
        </is>
      </c>
      <c r="G340" s="12" t="inlineStr">
        <is>
          <t>ENTERTAIN</t>
        </is>
      </c>
      <c r="H340" s="12" t="inlineStr">
        <is>
          <t>Entertainment</t>
        </is>
      </c>
      <c r="I340" s="13" t="n">
        <v>662</v>
      </c>
    </row>
    <row r="341">
      <c r="A341" s="12" t="n">
        <v>9</v>
      </c>
      <c r="B341" s="12" t="inlineStr">
        <is>
          <t>Sep</t>
        </is>
      </c>
      <c r="C341" s="12" t="inlineStr">
        <is>
          <t>SALES</t>
        </is>
      </c>
      <c r="D341" s="12" t="inlineStr">
        <is>
          <t>Direct Sales</t>
        </is>
      </c>
      <c r="E341" s="12" t="inlineStr">
        <is>
          <t>OPEX</t>
        </is>
      </c>
      <c r="F341" s="12" t="inlineStr">
        <is>
          <t>Operating Expenses</t>
        </is>
      </c>
      <c r="G341" s="12" t="inlineStr">
        <is>
          <t>OFFICE</t>
        </is>
      </c>
      <c r="H341" s="12" t="inlineStr">
        <is>
          <t>Office</t>
        </is>
      </c>
      <c r="I341" s="13" t="n">
        <v>6376</v>
      </c>
    </row>
    <row r="342">
      <c r="A342" s="12" t="n">
        <v>9</v>
      </c>
      <c r="B342" s="12" t="inlineStr">
        <is>
          <t>Sep</t>
        </is>
      </c>
      <c r="C342" s="12" t="inlineStr">
        <is>
          <t>CHANNEL</t>
        </is>
      </c>
      <c r="D342" s="12" t="inlineStr">
        <is>
          <t>Distributor Channel</t>
        </is>
      </c>
      <c r="E342" s="12" t="inlineStr">
        <is>
          <t>OPEX</t>
        </is>
      </c>
      <c r="F342" s="12" t="inlineStr">
        <is>
          <t>Operating Expenses</t>
        </is>
      </c>
      <c r="G342" s="12" t="inlineStr">
        <is>
          <t>OFFICE</t>
        </is>
      </c>
      <c r="H342" s="12" t="inlineStr">
        <is>
          <t>Office</t>
        </is>
      </c>
      <c r="I342" s="13" t="n">
        <v>3478</v>
      </c>
    </row>
    <row r="343">
      <c r="A343" s="12" t="n">
        <v>9</v>
      </c>
      <c r="B343" s="12" t="inlineStr">
        <is>
          <t>Sep</t>
        </is>
      </c>
      <c r="C343" s="12" t="inlineStr">
        <is>
          <t>SERVICE</t>
        </is>
      </c>
      <c r="D343" s="12" t="inlineStr">
        <is>
          <t>Service and Support</t>
        </is>
      </c>
      <c r="E343" s="12" t="inlineStr">
        <is>
          <t>OPEX</t>
        </is>
      </c>
      <c r="F343" s="12" t="inlineStr">
        <is>
          <t>Operating Expenses</t>
        </is>
      </c>
      <c r="G343" s="12" t="inlineStr">
        <is>
          <t>OFFICE</t>
        </is>
      </c>
      <c r="H343" s="12" t="inlineStr">
        <is>
          <t>Office</t>
        </is>
      </c>
      <c r="I343" s="13" t="n">
        <v>1739</v>
      </c>
    </row>
    <row r="344">
      <c r="A344" s="12" t="n">
        <v>9</v>
      </c>
      <c r="B344" s="12" t="inlineStr">
        <is>
          <t>Sep</t>
        </is>
      </c>
      <c r="C344" s="12" t="inlineStr">
        <is>
          <t>SALES</t>
        </is>
      </c>
      <c r="D344" s="12" t="inlineStr">
        <is>
          <t>Direct Sales</t>
        </is>
      </c>
      <c r="E344" s="12" t="inlineStr">
        <is>
          <t>OPEX</t>
        </is>
      </c>
      <c r="F344" s="12" t="inlineStr">
        <is>
          <t>Operating Expenses</t>
        </is>
      </c>
      <c r="G344" s="12" t="inlineStr">
        <is>
          <t>MERCHANT</t>
        </is>
      </c>
      <c r="H344" s="12" t="inlineStr">
        <is>
          <t>Merchant Fees</t>
        </is>
      </c>
      <c r="I344" s="13" t="n">
        <v>7691</v>
      </c>
    </row>
    <row r="345">
      <c r="A345" s="12" t="n">
        <v>9</v>
      </c>
      <c r="B345" s="12" t="inlineStr">
        <is>
          <t>Sep</t>
        </is>
      </c>
      <c r="C345" s="12" t="inlineStr">
        <is>
          <t>CHANNEL</t>
        </is>
      </c>
      <c r="D345" s="12" t="inlineStr">
        <is>
          <t>Distributor Channel</t>
        </is>
      </c>
      <c r="E345" s="12" t="inlineStr">
        <is>
          <t>OPEX</t>
        </is>
      </c>
      <c r="F345" s="12" t="inlineStr">
        <is>
          <t>Operating Expenses</t>
        </is>
      </c>
      <c r="G345" s="12" t="inlineStr">
        <is>
          <t>MERCHANT</t>
        </is>
      </c>
      <c r="H345" s="12" t="inlineStr">
        <is>
          <t>Merchant Fees</t>
        </is>
      </c>
      <c r="I345" s="13" t="n">
        <v>4195</v>
      </c>
    </row>
    <row r="346">
      <c r="A346" s="12" t="n">
        <v>9</v>
      </c>
      <c r="B346" s="12" t="inlineStr">
        <is>
          <t>Sep</t>
        </is>
      </c>
      <c r="C346" s="12" t="inlineStr">
        <is>
          <t>SERVICE</t>
        </is>
      </c>
      <c r="D346" s="12" t="inlineStr">
        <is>
          <t>Service and Support</t>
        </is>
      </c>
      <c r="E346" s="12" t="inlineStr">
        <is>
          <t>OPEX</t>
        </is>
      </c>
      <c r="F346" s="12" t="inlineStr">
        <is>
          <t>Operating Expenses</t>
        </is>
      </c>
      <c r="G346" s="12" t="inlineStr">
        <is>
          <t>MERCHANT</t>
        </is>
      </c>
      <c r="H346" s="12" t="inlineStr">
        <is>
          <t>Merchant Fees</t>
        </is>
      </c>
      <c r="I346" s="13" t="n">
        <v>2098</v>
      </c>
    </row>
    <row r="347">
      <c r="A347" s="12" t="n">
        <v>9</v>
      </c>
      <c r="B347" s="12" t="inlineStr">
        <is>
          <t>Sep</t>
        </is>
      </c>
      <c r="C347" s="12" t="inlineStr">
        <is>
          <t>SALES</t>
        </is>
      </c>
      <c r="D347" s="12" t="inlineStr">
        <is>
          <t>Direct Sales</t>
        </is>
      </c>
      <c r="E347" s="12" t="inlineStr">
        <is>
          <t>OPEX</t>
        </is>
      </c>
      <c r="F347" s="12" t="inlineStr">
        <is>
          <t>Operating Expenses</t>
        </is>
      </c>
      <c r="G347" s="12" t="inlineStr">
        <is>
          <t>PROFSVC</t>
        </is>
      </c>
      <c r="H347" s="12" t="inlineStr">
        <is>
          <t>Professional Fees</t>
        </is>
      </c>
      <c r="I347" s="13" t="n">
        <v>5971</v>
      </c>
    </row>
    <row r="348">
      <c r="A348" s="12" t="n">
        <v>9</v>
      </c>
      <c r="B348" s="12" t="inlineStr">
        <is>
          <t>Sep</t>
        </is>
      </c>
      <c r="C348" s="12" t="inlineStr">
        <is>
          <t>CHANNEL</t>
        </is>
      </c>
      <c r="D348" s="12" t="inlineStr">
        <is>
          <t>Distributor Channel</t>
        </is>
      </c>
      <c r="E348" s="12" t="inlineStr">
        <is>
          <t>OPEX</t>
        </is>
      </c>
      <c r="F348" s="12" t="inlineStr">
        <is>
          <t>Operating Expenses</t>
        </is>
      </c>
      <c r="G348" s="12" t="inlineStr">
        <is>
          <t>PROFSVC</t>
        </is>
      </c>
      <c r="H348" s="12" t="inlineStr">
        <is>
          <t>Professional Fees</t>
        </is>
      </c>
      <c r="I348" s="13" t="n">
        <v>3257</v>
      </c>
    </row>
    <row r="349">
      <c r="A349" s="12" t="n">
        <v>9</v>
      </c>
      <c r="B349" s="12" t="inlineStr">
        <is>
          <t>Sep</t>
        </is>
      </c>
      <c r="C349" s="12" t="inlineStr">
        <is>
          <t>SERVICE</t>
        </is>
      </c>
      <c r="D349" s="12" t="inlineStr">
        <is>
          <t>Service and Support</t>
        </is>
      </c>
      <c r="E349" s="12" t="inlineStr">
        <is>
          <t>OPEX</t>
        </is>
      </c>
      <c r="F349" s="12" t="inlineStr">
        <is>
          <t>Operating Expenses</t>
        </is>
      </c>
      <c r="G349" s="12" t="inlineStr">
        <is>
          <t>PROFSVC</t>
        </is>
      </c>
      <c r="H349" s="12" t="inlineStr">
        <is>
          <t>Professional Fees</t>
        </is>
      </c>
      <c r="I349" s="13" t="n">
        <v>1628</v>
      </c>
    </row>
    <row r="350">
      <c r="A350" s="12" t="n">
        <v>9</v>
      </c>
      <c r="B350" s="12" t="inlineStr">
        <is>
          <t>Sep</t>
        </is>
      </c>
      <c r="C350" s="12" t="inlineStr">
        <is>
          <t>SALES</t>
        </is>
      </c>
      <c r="D350" s="12" t="inlineStr">
        <is>
          <t>Direct Sales</t>
        </is>
      </c>
      <c r="E350" s="12" t="inlineStr">
        <is>
          <t>OPEX</t>
        </is>
      </c>
      <c r="F350" s="12" t="inlineStr">
        <is>
          <t>Operating Expenses</t>
        </is>
      </c>
      <c r="G350" s="12" t="inlineStr">
        <is>
          <t>DEPREC</t>
        </is>
      </c>
      <c r="H350" s="12" t="inlineStr">
        <is>
          <t>Depreciation</t>
        </is>
      </c>
      <c r="I350" s="13" t="n">
        <v>5630</v>
      </c>
    </row>
    <row r="351">
      <c r="A351" s="12" t="n">
        <v>9</v>
      </c>
      <c r="B351" s="12" t="inlineStr">
        <is>
          <t>Sep</t>
        </is>
      </c>
      <c r="C351" s="12" t="inlineStr">
        <is>
          <t>CHANNEL</t>
        </is>
      </c>
      <c r="D351" s="12" t="inlineStr">
        <is>
          <t>Distributor Channel</t>
        </is>
      </c>
      <c r="E351" s="12" t="inlineStr">
        <is>
          <t>OPEX</t>
        </is>
      </c>
      <c r="F351" s="12" t="inlineStr">
        <is>
          <t>Operating Expenses</t>
        </is>
      </c>
      <c r="G351" s="12" t="inlineStr">
        <is>
          <t>DEPREC</t>
        </is>
      </c>
      <c r="H351" s="12" t="inlineStr">
        <is>
          <t>Depreciation</t>
        </is>
      </c>
      <c r="I351" s="13" t="n">
        <v>5465</v>
      </c>
    </row>
    <row r="352">
      <c r="A352" s="12" t="n">
        <v>9</v>
      </c>
      <c r="B352" s="12" t="inlineStr">
        <is>
          <t>Sep</t>
        </is>
      </c>
      <c r="C352" s="12" t="inlineStr">
        <is>
          <t>SERVICE</t>
        </is>
      </c>
      <c r="D352" s="12" t="inlineStr">
        <is>
          <t>Service and Support</t>
        </is>
      </c>
      <c r="E352" s="12" t="inlineStr">
        <is>
          <t>OPEX</t>
        </is>
      </c>
      <c r="F352" s="12" t="inlineStr">
        <is>
          <t>Operating Expenses</t>
        </is>
      </c>
      <c r="G352" s="12" t="inlineStr">
        <is>
          <t>DEPREC</t>
        </is>
      </c>
      <c r="H352" s="12" t="inlineStr">
        <is>
          <t>Depreciation</t>
        </is>
      </c>
      <c r="I352" s="13" t="n">
        <v>5465</v>
      </c>
    </row>
    <row r="353">
      <c r="A353" s="12" t="n">
        <v>9</v>
      </c>
      <c r="B353" s="12" t="inlineStr">
        <is>
          <t>Sep</t>
        </is>
      </c>
      <c r="C353" s="12" t="inlineStr">
        <is>
          <t>SALES</t>
        </is>
      </c>
      <c r="D353" s="12" t="inlineStr">
        <is>
          <t>Direct Sales</t>
        </is>
      </c>
      <c r="E353" s="12" t="inlineStr">
        <is>
          <t>OPEX</t>
        </is>
      </c>
      <c r="F353" s="12" t="inlineStr">
        <is>
          <t>Operating Expenses</t>
        </is>
      </c>
      <c r="G353" s="12" t="inlineStr">
        <is>
          <t>FINANCE</t>
        </is>
      </c>
      <c r="H353" s="12" t="inlineStr">
        <is>
          <t>Finance Costs</t>
        </is>
      </c>
      <c r="I353" s="13" t="n">
        <v>3003</v>
      </c>
    </row>
    <row r="354">
      <c r="A354" s="12" t="n">
        <v>9</v>
      </c>
      <c r="B354" s="12" t="inlineStr">
        <is>
          <t>Sep</t>
        </is>
      </c>
      <c r="C354" s="12" t="inlineStr">
        <is>
          <t>CHANNEL</t>
        </is>
      </c>
      <c r="D354" s="12" t="inlineStr">
        <is>
          <t>Distributor Channel</t>
        </is>
      </c>
      <c r="E354" s="12" t="inlineStr">
        <is>
          <t>OPEX</t>
        </is>
      </c>
      <c r="F354" s="12" t="inlineStr">
        <is>
          <t>Operating Expenses</t>
        </is>
      </c>
      <c r="G354" s="12" t="inlineStr">
        <is>
          <t>FINANCE</t>
        </is>
      </c>
      <c r="H354" s="12" t="inlineStr">
        <is>
          <t>Finance Costs</t>
        </is>
      </c>
      <c r="I354" s="13" t="n">
        <v>2915</v>
      </c>
    </row>
    <row r="355">
      <c r="A355" s="12" t="n">
        <v>9</v>
      </c>
      <c r="B355" s="12" t="inlineStr">
        <is>
          <t>Sep</t>
        </is>
      </c>
      <c r="C355" s="12" t="inlineStr">
        <is>
          <t>SERVICE</t>
        </is>
      </c>
      <c r="D355" s="12" t="inlineStr">
        <is>
          <t>Service and Support</t>
        </is>
      </c>
      <c r="E355" s="12" t="inlineStr">
        <is>
          <t>OPEX</t>
        </is>
      </c>
      <c r="F355" s="12" t="inlineStr">
        <is>
          <t>Operating Expenses</t>
        </is>
      </c>
      <c r="G355" s="12" t="inlineStr">
        <is>
          <t>FINANCE</t>
        </is>
      </c>
      <c r="H355" s="12" t="inlineStr">
        <is>
          <t>Finance Costs</t>
        </is>
      </c>
      <c r="I355" s="13" t="n">
        <v>2915</v>
      </c>
    </row>
    <row r="356">
      <c r="A356" s="12" t="n">
        <v>10</v>
      </c>
      <c r="B356" s="12" t="inlineStr">
        <is>
          <t>Oct</t>
        </is>
      </c>
      <c r="C356" s="12" t="inlineStr">
        <is>
          <t>SALES</t>
        </is>
      </c>
      <c r="D356" s="12" t="inlineStr">
        <is>
          <t>Direct Sales</t>
        </is>
      </c>
      <c r="E356" s="12" t="inlineStr">
        <is>
          <t>REVENUE</t>
        </is>
      </c>
      <c r="F356" s="12" t="inlineStr">
        <is>
          <t>Revenue</t>
        </is>
      </c>
      <c r="G356" s="12" t="inlineStr">
        <is>
          <t>REVENUE_PROD</t>
        </is>
      </c>
      <c r="H356" s="12" t="inlineStr">
        <is>
          <t>Product Revenue</t>
        </is>
      </c>
      <c r="I356" s="13" t="n">
        <v>647900</v>
      </c>
    </row>
    <row r="357">
      <c r="A357" s="12" t="n">
        <v>10</v>
      </c>
      <c r="B357" s="12" t="inlineStr">
        <is>
          <t>Oct</t>
        </is>
      </c>
      <c r="C357" s="12" t="inlineStr">
        <is>
          <t>CHANNEL</t>
        </is>
      </c>
      <c r="D357" s="12" t="inlineStr">
        <is>
          <t>Distributor Channel</t>
        </is>
      </c>
      <c r="E357" s="12" t="inlineStr">
        <is>
          <t>REVENUE</t>
        </is>
      </c>
      <c r="F357" s="12" t="inlineStr">
        <is>
          <t>Revenue</t>
        </is>
      </c>
      <c r="G357" s="12" t="inlineStr">
        <is>
          <t>REVENUE_PROD</t>
        </is>
      </c>
      <c r="H357" s="12" t="inlineStr">
        <is>
          <t>Product Revenue</t>
        </is>
      </c>
      <c r="I357" s="13" t="n">
        <v>353400</v>
      </c>
    </row>
    <row r="358">
      <c r="A358" s="12" t="n">
        <v>10</v>
      </c>
      <c r="B358" s="12" t="inlineStr">
        <is>
          <t>Oct</t>
        </is>
      </c>
      <c r="C358" s="12" t="inlineStr">
        <is>
          <t>SERVICE</t>
        </is>
      </c>
      <c r="D358" s="12" t="inlineStr">
        <is>
          <t>Service and Support</t>
        </is>
      </c>
      <c r="E358" s="12" t="inlineStr">
        <is>
          <t>REVENUE</t>
        </is>
      </c>
      <c r="F358" s="12" t="inlineStr">
        <is>
          <t>Revenue</t>
        </is>
      </c>
      <c r="G358" s="12" t="inlineStr">
        <is>
          <t>REVENUE_PROD</t>
        </is>
      </c>
      <c r="H358" s="12" t="inlineStr">
        <is>
          <t>Product Revenue</t>
        </is>
      </c>
      <c r="I358" s="13" t="n">
        <v>176700</v>
      </c>
    </row>
    <row r="359">
      <c r="A359" s="12" t="n">
        <v>10</v>
      </c>
      <c r="B359" s="12" t="inlineStr">
        <is>
          <t>Oct</t>
        </is>
      </c>
      <c r="C359" s="12" t="inlineStr">
        <is>
          <t>SALES</t>
        </is>
      </c>
      <c r="D359" s="12" t="inlineStr">
        <is>
          <t>Direct Sales</t>
        </is>
      </c>
      <c r="E359" s="12" t="inlineStr">
        <is>
          <t>REVENUE</t>
        </is>
      </c>
      <c r="F359" s="12" t="inlineStr">
        <is>
          <t>Revenue</t>
        </is>
      </c>
      <c r="G359" s="12" t="inlineStr">
        <is>
          <t>REVENUE_SVC</t>
        </is>
      </c>
      <c r="H359" s="12" t="inlineStr">
        <is>
          <t>Service Revenue</t>
        </is>
      </c>
      <c r="I359" s="13" t="n">
        <v>5462</v>
      </c>
    </row>
    <row r="360">
      <c r="A360" s="12" t="n">
        <v>10</v>
      </c>
      <c r="B360" s="12" t="inlineStr">
        <is>
          <t>Oct</t>
        </is>
      </c>
      <c r="C360" s="12" t="inlineStr">
        <is>
          <t>CHANNEL</t>
        </is>
      </c>
      <c r="D360" s="12" t="inlineStr">
        <is>
          <t>Distributor Channel</t>
        </is>
      </c>
      <c r="E360" s="12" t="inlineStr">
        <is>
          <t>REVENUE</t>
        </is>
      </c>
      <c r="F360" s="12" t="inlineStr">
        <is>
          <t>Revenue</t>
        </is>
      </c>
      <c r="G360" s="12" t="inlineStr">
        <is>
          <t>REVENUE_SVC</t>
        </is>
      </c>
      <c r="H360" s="12" t="inlineStr">
        <is>
          <t>Service Revenue</t>
        </is>
      </c>
      <c r="I360" s="13" t="n">
        <v>5462</v>
      </c>
    </row>
    <row r="361">
      <c r="A361" s="12" t="n">
        <v>10</v>
      </c>
      <c r="B361" s="12" t="inlineStr">
        <is>
          <t>Oct</t>
        </is>
      </c>
      <c r="C361" s="12" t="inlineStr">
        <is>
          <t>SERVICE</t>
        </is>
      </c>
      <c r="D361" s="12" t="inlineStr">
        <is>
          <t>Service and Support</t>
        </is>
      </c>
      <c r="E361" s="12" t="inlineStr">
        <is>
          <t>REVENUE</t>
        </is>
      </c>
      <c r="F361" s="12" t="inlineStr">
        <is>
          <t>Revenue</t>
        </is>
      </c>
      <c r="G361" s="12" t="inlineStr">
        <is>
          <t>REVENUE_SVC</t>
        </is>
      </c>
      <c r="H361" s="12" t="inlineStr">
        <is>
          <t>Service Revenue</t>
        </is>
      </c>
      <c r="I361" s="13" t="n">
        <v>98325</v>
      </c>
    </row>
    <row r="362">
      <c r="A362" s="12" t="n">
        <v>10</v>
      </c>
      <c r="B362" s="12" t="inlineStr">
        <is>
          <t>Oct</t>
        </is>
      </c>
      <c r="C362" s="12" t="inlineStr">
        <is>
          <t>SALES</t>
        </is>
      </c>
      <c r="D362" s="12" t="inlineStr">
        <is>
          <t>Direct Sales</t>
        </is>
      </c>
      <c r="E362" s="12" t="inlineStr">
        <is>
          <t>COGS</t>
        </is>
      </c>
      <c r="F362" s="12" t="inlineStr">
        <is>
          <t>Cost of Sales</t>
        </is>
      </c>
      <c r="G362" s="12" t="inlineStr">
        <is>
          <t>COGS</t>
        </is>
      </c>
      <c r="H362" s="12" t="inlineStr">
        <is>
          <t>Cost of Goods Sold</t>
        </is>
      </c>
      <c r="I362" s="13" t="n">
        <v>421135</v>
      </c>
    </row>
    <row r="363">
      <c r="A363" s="12" t="n">
        <v>10</v>
      </c>
      <c r="B363" s="12" t="inlineStr">
        <is>
          <t>Oct</t>
        </is>
      </c>
      <c r="C363" s="12" t="inlineStr">
        <is>
          <t>CHANNEL</t>
        </is>
      </c>
      <c r="D363" s="12" t="inlineStr">
        <is>
          <t>Distributor Channel</t>
        </is>
      </c>
      <c r="E363" s="12" t="inlineStr">
        <is>
          <t>COGS</t>
        </is>
      </c>
      <c r="F363" s="12" t="inlineStr">
        <is>
          <t>Cost of Sales</t>
        </is>
      </c>
      <c r="G363" s="12" t="inlineStr">
        <is>
          <t>COGS</t>
        </is>
      </c>
      <c r="H363" s="12" t="inlineStr">
        <is>
          <t>Cost of Goods Sold</t>
        </is>
      </c>
      <c r="I363" s="13" t="n">
        <v>229710</v>
      </c>
    </row>
    <row r="364">
      <c r="A364" s="12" t="n">
        <v>10</v>
      </c>
      <c r="B364" s="12" t="inlineStr">
        <is>
          <t>Oct</t>
        </is>
      </c>
      <c r="C364" s="12" t="inlineStr">
        <is>
          <t>SERVICE</t>
        </is>
      </c>
      <c r="D364" s="12" t="inlineStr">
        <is>
          <t>Service and Support</t>
        </is>
      </c>
      <c r="E364" s="12" t="inlineStr">
        <is>
          <t>COGS</t>
        </is>
      </c>
      <c r="F364" s="12" t="inlineStr">
        <is>
          <t>Cost of Sales</t>
        </is>
      </c>
      <c r="G364" s="12" t="inlineStr">
        <is>
          <t>COGS</t>
        </is>
      </c>
      <c r="H364" s="12" t="inlineStr">
        <is>
          <t>Cost of Goods Sold</t>
        </is>
      </c>
      <c r="I364" s="13" t="n">
        <v>114855</v>
      </c>
    </row>
    <row r="365">
      <c r="A365" s="12" t="n">
        <v>10</v>
      </c>
      <c r="B365" s="12" t="inlineStr">
        <is>
          <t>Oct</t>
        </is>
      </c>
      <c r="C365" s="12" t="inlineStr">
        <is>
          <t>SALES</t>
        </is>
      </c>
      <c r="D365" s="12" t="inlineStr">
        <is>
          <t>Direct Sales</t>
        </is>
      </c>
      <c r="E365" s="12" t="inlineStr">
        <is>
          <t>OPEX</t>
        </is>
      </c>
      <c r="F365" s="12" t="inlineStr">
        <is>
          <t>Operating Expenses</t>
        </is>
      </c>
      <c r="G365" s="12" t="inlineStr">
        <is>
          <t>SALARY</t>
        </is>
      </c>
      <c r="H365" s="12" t="inlineStr">
        <is>
          <t>Payroll</t>
        </is>
      </c>
      <c r="I365" s="13" t="n">
        <v>107113</v>
      </c>
    </row>
    <row r="366">
      <c r="A366" s="12" t="n">
        <v>10</v>
      </c>
      <c r="B366" s="12" t="inlineStr">
        <is>
          <t>Oct</t>
        </is>
      </c>
      <c r="C366" s="12" t="inlineStr">
        <is>
          <t>CHANNEL</t>
        </is>
      </c>
      <c r="D366" s="12" t="inlineStr">
        <is>
          <t>Distributor Channel</t>
        </is>
      </c>
      <c r="E366" s="12" t="inlineStr">
        <is>
          <t>OPEX</t>
        </is>
      </c>
      <c r="F366" s="12" t="inlineStr">
        <is>
          <t>Operating Expenses</t>
        </is>
      </c>
      <c r="G366" s="12" t="inlineStr">
        <is>
          <t>SALARY</t>
        </is>
      </c>
      <c r="H366" s="12" t="inlineStr">
        <is>
          <t>Payroll</t>
        </is>
      </c>
      <c r="I366" s="13" t="n">
        <v>58425</v>
      </c>
    </row>
    <row r="367">
      <c r="A367" s="12" t="n">
        <v>10</v>
      </c>
      <c r="B367" s="12" t="inlineStr">
        <is>
          <t>Oct</t>
        </is>
      </c>
      <c r="C367" s="12" t="inlineStr">
        <is>
          <t>SERVICE</t>
        </is>
      </c>
      <c r="D367" s="12" t="inlineStr">
        <is>
          <t>Service and Support</t>
        </is>
      </c>
      <c r="E367" s="12" t="inlineStr">
        <is>
          <t>OPEX</t>
        </is>
      </c>
      <c r="F367" s="12" t="inlineStr">
        <is>
          <t>Operating Expenses</t>
        </is>
      </c>
      <c r="G367" s="12" t="inlineStr">
        <is>
          <t>SALARY</t>
        </is>
      </c>
      <c r="H367" s="12" t="inlineStr">
        <is>
          <t>Payroll</t>
        </is>
      </c>
      <c r="I367" s="13" t="n">
        <v>29212</v>
      </c>
    </row>
    <row r="368">
      <c r="A368" s="12" t="n">
        <v>10</v>
      </c>
      <c r="B368" s="12" t="inlineStr">
        <is>
          <t>Oct</t>
        </is>
      </c>
      <c r="C368" s="12" t="inlineStr">
        <is>
          <t>SALES</t>
        </is>
      </c>
      <c r="D368" s="12" t="inlineStr">
        <is>
          <t>Direct Sales</t>
        </is>
      </c>
      <c r="E368" s="12" t="inlineStr">
        <is>
          <t>OPEX</t>
        </is>
      </c>
      <c r="F368" s="12" t="inlineStr">
        <is>
          <t>Operating Expenses</t>
        </is>
      </c>
      <c r="G368" s="12" t="inlineStr">
        <is>
          <t>RENT</t>
        </is>
      </c>
      <c r="H368" s="12" t="inlineStr">
        <is>
          <t>Rent and Facilities</t>
        </is>
      </c>
      <c r="I368" s="13" t="n">
        <v>12791</v>
      </c>
    </row>
    <row r="369">
      <c r="A369" s="12" t="n">
        <v>10</v>
      </c>
      <c r="B369" s="12" t="inlineStr">
        <is>
          <t>Oct</t>
        </is>
      </c>
      <c r="C369" s="12" t="inlineStr">
        <is>
          <t>CHANNEL</t>
        </is>
      </c>
      <c r="D369" s="12" t="inlineStr">
        <is>
          <t>Distributor Channel</t>
        </is>
      </c>
      <c r="E369" s="12" t="inlineStr">
        <is>
          <t>OPEX</t>
        </is>
      </c>
      <c r="F369" s="12" t="inlineStr">
        <is>
          <t>Operating Expenses</t>
        </is>
      </c>
      <c r="G369" s="12" t="inlineStr">
        <is>
          <t>RENT</t>
        </is>
      </c>
      <c r="H369" s="12" t="inlineStr">
        <is>
          <t>Rent and Facilities</t>
        </is>
      </c>
      <c r="I369" s="13" t="n">
        <v>12415</v>
      </c>
    </row>
    <row r="370">
      <c r="A370" s="12" t="n">
        <v>10</v>
      </c>
      <c r="B370" s="12" t="inlineStr">
        <is>
          <t>Oct</t>
        </is>
      </c>
      <c r="C370" s="12" t="inlineStr">
        <is>
          <t>SERVICE</t>
        </is>
      </c>
      <c r="D370" s="12" t="inlineStr">
        <is>
          <t>Service and Support</t>
        </is>
      </c>
      <c r="E370" s="12" t="inlineStr">
        <is>
          <t>OPEX</t>
        </is>
      </c>
      <c r="F370" s="12" t="inlineStr">
        <is>
          <t>Operating Expenses</t>
        </is>
      </c>
      <c r="G370" s="12" t="inlineStr">
        <is>
          <t>RENT</t>
        </is>
      </c>
      <c r="H370" s="12" t="inlineStr">
        <is>
          <t>Rent and Facilities</t>
        </is>
      </c>
      <c r="I370" s="13" t="n">
        <v>12415</v>
      </c>
    </row>
    <row r="371">
      <c r="A371" s="12" t="n">
        <v>10</v>
      </c>
      <c r="B371" s="12" t="inlineStr">
        <is>
          <t>Oct</t>
        </is>
      </c>
      <c r="C371" s="12" t="inlineStr">
        <is>
          <t>SALES</t>
        </is>
      </c>
      <c r="D371" s="12" t="inlineStr">
        <is>
          <t>Direct Sales</t>
        </is>
      </c>
      <c r="E371" s="12" t="inlineStr">
        <is>
          <t>OPEX</t>
        </is>
      </c>
      <c r="F371" s="12" t="inlineStr">
        <is>
          <t>Operating Expenses</t>
        </is>
      </c>
      <c r="G371" s="12" t="inlineStr">
        <is>
          <t>VEHICLE</t>
        </is>
      </c>
      <c r="H371" s="12" t="inlineStr">
        <is>
          <t>Vehicle</t>
        </is>
      </c>
      <c r="I371" s="13" t="n">
        <v>11182</v>
      </c>
    </row>
    <row r="372">
      <c r="A372" s="12" t="n">
        <v>10</v>
      </c>
      <c r="B372" s="12" t="inlineStr">
        <is>
          <t>Oct</t>
        </is>
      </c>
      <c r="C372" s="12" t="inlineStr">
        <is>
          <t>CHANNEL</t>
        </is>
      </c>
      <c r="D372" s="12" t="inlineStr">
        <is>
          <t>Distributor Channel</t>
        </is>
      </c>
      <c r="E372" s="12" t="inlineStr">
        <is>
          <t>OPEX</t>
        </is>
      </c>
      <c r="F372" s="12" t="inlineStr">
        <is>
          <t>Operating Expenses</t>
        </is>
      </c>
      <c r="G372" s="12" t="inlineStr">
        <is>
          <t>VEHICLE</t>
        </is>
      </c>
      <c r="H372" s="12" t="inlineStr">
        <is>
          <t>Vehicle</t>
        </is>
      </c>
      <c r="I372" s="13" t="n">
        <v>6099</v>
      </c>
    </row>
    <row r="373">
      <c r="A373" s="12" t="n">
        <v>10</v>
      </c>
      <c r="B373" s="12" t="inlineStr">
        <is>
          <t>Oct</t>
        </is>
      </c>
      <c r="C373" s="12" t="inlineStr">
        <is>
          <t>SERVICE</t>
        </is>
      </c>
      <c r="D373" s="12" t="inlineStr">
        <is>
          <t>Service and Support</t>
        </is>
      </c>
      <c r="E373" s="12" t="inlineStr">
        <is>
          <t>OPEX</t>
        </is>
      </c>
      <c r="F373" s="12" t="inlineStr">
        <is>
          <t>Operating Expenses</t>
        </is>
      </c>
      <c r="G373" s="12" t="inlineStr">
        <is>
          <t>VEHICLE</t>
        </is>
      </c>
      <c r="H373" s="12" t="inlineStr">
        <is>
          <t>Vehicle</t>
        </is>
      </c>
      <c r="I373" s="13" t="n">
        <v>3050</v>
      </c>
    </row>
    <row r="374">
      <c r="A374" s="12" t="n">
        <v>10</v>
      </c>
      <c r="B374" s="12" t="inlineStr">
        <is>
          <t>Oct</t>
        </is>
      </c>
      <c r="C374" s="12" t="inlineStr">
        <is>
          <t>SALES</t>
        </is>
      </c>
      <c r="D374" s="12" t="inlineStr">
        <is>
          <t>Direct Sales</t>
        </is>
      </c>
      <c r="E374" s="12" t="inlineStr">
        <is>
          <t>OPEX</t>
        </is>
      </c>
      <c r="F374" s="12" t="inlineStr">
        <is>
          <t>Operating Expenses</t>
        </is>
      </c>
      <c r="G374" s="12" t="inlineStr">
        <is>
          <t>MARKETING</t>
        </is>
      </c>
      <c r="H374" s="12" t="inlineStr">
        <is>
          <t>Marketing</t>
        </is>
      </c>
      <c r="I374" s="13" t="n">
        <v>17242</v>
      </c>
    </row>
    <row r="375">
      <c r="A375" s="12" t="n">
        <v>10</v>
      </c>
      <c r="B375" s="12" t="inlineStr">
        <is>
          <t>Oct</t>
        </is>
      </c>
      <c r="C375" s="12" t="inlineStr">
        <is>
          <t>CHANNEL</t>
        </is>
      </c>
      <c r="D375" s="12" t="inlineStr">
        <is>
          <t>Distributor Channel</t>
        </is>
      </c>
      <c r="E375" s="12" t="inlineStr">
        <is>
          <t>OPEX</t>
        </is>
      </c>
      <c r="F375" s="12" t="inlineStr">
        <is>
          <t>Operating Expenses</t>
        </is>
      </c>
      <c r="G375" s="12" t="inlineStr">
        <is>
          <t>MARKETING</t>
        </is>
      </c>
      <c r="H375" s="12" t="inlineStr">
        <is>
          <t>Marketing</t>
        </is>
      </c>
      <c r="I375" s="13" t="n">
        <v>9405</v>
      </c>
    </row>
    <row r="376">
      <c r="A376" s="12" t="n">
        <v>10</v>
      </c>
      <c r="B376" s="12" t="inlineStr">
        <is>
          <t>Oct</t>
        </is>
      </c>
      <c r="C376" s="12" t="inlineStr">
        <is>
          <t>SERVICE</t>
        </is>
      </c>
      <c r="D376" s="12" t="inlineStr">
        <is>
          <t>Service and Support</t>
        </is>
      </c>
      <c r="E376" s="12" t="inlineStr">
        <is>
          <t>OPEX</t>
        </is>
      </c>
      <c r="F376" s="12" t="inlineStr">
        <is>
          <t>Operating Expenses</t>
        </is>
      </c>
      <c r="G376" s="12" t="inlineStr">
        <is>
          <t>MARKETING</t>
        </is>
      </c>
      <c r="H376" s="12" t="inlineStr">
        <is>
          <t>Marketing</t>
        </is>
      </c>
      <c r="I376" s="13" t="n">
        <v>4702</v>
      </c>
    </row>
    <row r="377">
      <c r="A377" s="12" t="n">
        <v>10</v>
      </c>
      <c r="B377" s="12" t="inlineStr">
        <is>
          <t>Oct</t>
        </is>
      </c>
      <c r="C377" s="12" t="inlineStr">
        <is>
          <t>SALES</t>
        </is>
      </c>
      <c r="D377" s="12" t="inlineStr">
        <is>
          <t>Direct Sales</t>
        </is>
      </c>
      <c r="E377" s="12" t="inlineStr">
        <is>
          <t>OPEX</t>
        </is>
      </c>
      <c r="F377" s="12" t="inlineStr">
        <is>
          <t>Operating Expenses</t>
        </is>
      </c>
      <c r="G377" s="12" t="inlineStr">
        <is>
          <t>ENTERTAIN</t>
        </is>
      </c>
      <c r="H377" s="12" t="inlineStr">
        <is>
          <t>Entertainment</t>
        </is>
      </c>
      <c r="I377" s="13" t="n">
        <v>2508</v>
      </c>
    </row>
    <row r="378">
      <c r="A378" s="12" t="n">
        <v>10</v>
      </c>
      <c r="B378" s="12" t="inlineStr">
        <is>
          <t>Oct</t>
        </is>
      </c>
      <c r="C378" s="12" t="inlineStr">
        <is>
          <t>CHANNEL</t>
        </is>
      </c>
      <c r="D378" s="12" t="inlineStr">
        <is>
          <t>Distributor Channel</t>
        </is>
      </c>
      <c r="E378" s="12" t="inlineStr">
        <is>
          <t>OPEX</t>
        </is>
      </c>
      <c r="F378" s="12" t="inlineStr">
        <is>
          <t>Operating Expenses</t>
        </is>
      </c>
      <c r="G378" s="12" t="inlineStr">
        <is>
          <t>ENTERTAIN</t>
        </is>
      </c>
      <c r="H378" s="12" t="inlineStr">
        <is>
          <t>Entertainment</t>
        </is>
      </c>
      <c r="I378" s="13" t="n">
        <v>1368</v>
      </c>
    </row>
    <row r="379">
      <c r="A379" s="12" t="n">
        <v>10</v>
      </c>
      <c r="B379" s="12" t="inlineStr">
        <is>
          <t>Oct</t>
        </is>
      </c>
      <c r="C379" s="12" t="inlineStr">
        <is>
          <t>SERVICE</t>
        </is>
      </c>
      <c r="D379" s="12" t="inlineStr">
        <is>
          <t>Service and Support</t>
        </is>
      </c>
      <c r="E379" s="12" t="inlineStr">
        <is>
          <t>OPEX</t>
        </is>
      </c>
      <c r="F379" s="12" t="inlineStr">
        <is>
          <t>Operating Expenses</t>
        </is>
      </c>
      <c r="G379" s="12" t="inlineStr">
        <is>
          <t>ENTERTAIN</t>
        </is>
      </c>
      <c r="H379" s="12" t="inlineStr">
        <is>
          <t>Entertainment</t>
        </is>
      </c>
      <c r="I379" s="13" t="n">
        <v>684</v>
      </c>
    </row>
    <row r="380">
      <c r="A380" s="12" t="n">
        <v>10</v>
      </c>
      <c r="B380" s="12" t="inlineStr">
        <is>
          <t>Oct</t>
        </is>
      </c>
      <c r="C380" s="12" t="inlineStr">
        <is>
          <t>SALES</t>
        </is>
      </c>
      <c r="D380" s="12" t="inlineStr">
        <is>
          <t>Direct Sales</t>
        </is>
      </c>
      <c r="E380" s="12" t="inlineStr">
        <is>
          <t>OPEX</t>
        </is>
      </c>
      <c r="F380" s="12" t="inlineStr">
        <is>
          <t>Operating Expenses</t>
        </is>
      </c>
      <c r="G380" s="12" t="inlineStr">
        <is>
          <t>OFFICE</t>
        </is>
      </c>
      <c r="H380" s="12" t="inlineStr">
        <is>
          <t>Office</t>
        </is>
      </c>
      <c r="I380" s="13" t="n">
        <v>6584</v>
      </c>
    </row>
    <row r="381">
      <c r="A381" s="12" t="n">
        <v>10</v>
      </c>
      <c r="B381" s="12" t="inlineStr">
        <is>
          <t>Oct</t>
        </is>
      </c>
      <c r="C381" s="12" t="inlineStr">
        <is>
          <t>CHANNEL</t>
        </is>
      </c>
      <c r="D381" s="12" t="inlineStr">
        <is>
          <t>Distributor Channel</t>
        </is>
      </c>
      <c r="E381" s="12" t="inlineStr">
        <is>
          <t>OPEX</t>
        </is>
      </c>
      <c r="F381" s="12" t="inlineStr">
        <is>
          <t>Operating Expenses</t>
        </is>
      </c>
      <c r="G381" s="12" t="inlineStr">
        <is>
          <t>OFFICE</t>
        </is>
      </c>
      <c r="H381" s="12" t="inlineStr">
        <is>
          <t>Office</t>
        </is>
      </c>
      <c r="I381" s="13" t="n">
        <v>3591</v>
      </c>
    </row>
    <row r="382">
      <c r="A382" s="12" t="n">
        <v>10</v>
      </c>
      <c r="B382" s="12" t="inlineStr">
        <is>
          <t>Oct</t>
        </is>
      </c>
      <c r="C382" s="12" t="inlineStr">
        <is>
          <t>SERVICE</t>
        </is>
      </c>
      <c r="D382" s="12" t="inlineStr">
        <is>
          <t>Service and Support</t>
        </is>
      </c>
      <c r="E382" s="12" t="inlineStr">
        <is>
          <t>OPEX</t>
        </is>
      </c>
      <c r="F382" s="12" t="inlineStr">
        <is>
          <t>Operating Expenses</t>
        </is>
      </c>
      <c r="G382" s="12" t="inlineStr">
        <is>
          <t>OFFICE</t>
        </is>
      </c>
      <c r="H382" s="12" t="inlineStr">
        <is>
          <t>Office</t>
        </is>
      </c>
      <c r="I382" s="13" t="n">
        <v>1796</v>
      </c>
    </row>
    <row r="383">
      <c r="A383" s="12" t="n">
        <v>10</v>
      </c>
      <c r="B383" s="12" t="inlineStr">
        <is>
          <t>Oct</t>
        </is>
      </c>
      <c r="C383" s="12" t="inlineStr">
        <is>
          <t>SALES</t>
        </is>
      </c>
      <c r="D383" s="12" t="inlineStr">
        <is>
          <t>Direct Sales</t>
        </is>
      </c>
      <c r="E383" s="12" t="inlineStr">
        <is>
          <t>OPEX</t>
        </is>
      </c>
      <c r="F383" s="12" t="inlineStr">
        <is>
          <t>Operating Expenses</t>
        </is>
      </c>
      <c r="G383" s="12" t="inlineStr">
        <is>
          <t>MERCHANT</t>
        </is>
      </c>
      <c r="H383" s="12" t="inlineStr">
        <is>
          <t>Merchant Fees</t>
        </is>
      </c>
      <c r="I383" s="13" t="n">
        <v>7942</v>
      </c>
    </row>
    <row r="384">
      <c r="A384" s="12" t="n">
        <v>10</v>
      </c>
      <c r="B384" s="12" t="inlineStr">
        <is>
          <t>Oct</t>
        </is>
      </c>
      <c r="C384" s="12" t="inlineStr">
        <is>
          <t>CHANNEL</t>
        </is>
      </c>
      <c r="D384" s="12" t="inlineStr">
        <is>
          <t>Distributor Channel</t>
        </is>
      </c>
      <c r="E384" s="12" t="inlineStr">
        <is>
          <t>OPEX</t>
        </is>
      </c>
      <c r="F384" s="12" t="inlineStr">
        <is>
          <t>Operating Expenses</t>
        </is>
      </c>
      <c r="G384" s="12" t="inlineStr">
        <is>
          <t>MERCHANT</t>
        </is>
      </c>
      <c r="H384" s="12" t="inlineStr">
        <is>
          <t>Merchant Fees</t>
        </is>
      </c>
      <c r="I384" s="13" t="n">
        <v>4332</v>
      </c>
    </row>
    <row r="385">
      <c r="A385" s="12" t="n">
        <v>10</v>
      </c>
      <c r="B385" s="12" t="inlineStr">
        <is>
          <t>Oct</t>
        </is>
      </c>
      <c r="C385" s="12" t="inlineStr">
        <is>
          <t>SERVICE</t>
        </is>
      </c>
      <c r="D385" s="12" t="inlineStr">
        <is>
          <t>Service and Support</t>
        </is>
      </c>
      <c r="E385" s="12" t="inlineStr">
        <is>
          <t>OPEX</t>
        </is>
      </c>
      <c r="F385" s="12" t="inlineStr">
        <is>
          <t>Operating Expenses</t>
        </is>
      </c>
      <c r="G385" s="12" t="inlineStr">
        <is>
          <t>MERCHANT</t>
        </is>
      </c>
      <c r="H385" s="12" t="inlineStr">
        <is>
          <t>Merchant Fees</t>
        </is>
      </c>
      <c r="I385" s="13" t="n">
        <v>2166</v>
      </c>
    </row>
    <row r="386">
      <c r="A386" s="12" t="n">
        <v>10</v>
      </c>
      <c r="B386" s="12" t="inlineStr">
        <is>
          <t>Oct</t>
        </is>
      </c>
      <c r="C386" s="12" t="inlineStr">
        <is>
          <t>SALES</t>
        </is>
      </c>
      <c r="D386" s="12" t="inlineStr">
        <is>
          <t>Direct Sales</t>
        </is>
      </c>
      <c r="E386" s="12" t="inlineStr">
        <is>
          <t>OPEX</t>
        </is>
      </c>
      <c r="F386" s="12" t="inlineStr">
        <is>
          <t>Operating Expenses</t>
        </is>
      </c>
      <c r="G386" s="12" t="inlineStr">
        <is>
          <t>PROFSVC</t>
        </is>
      </c>
      <c r="H386" s="12" t="inlineStr">
        <is>
          <t>Professional Fees</t>
        </is>
      </c>
      <c r="I386" s="13" t="n">
        <v>6166</v>
      </c>
    </row>
    <row r="387">
      <c r="A387" s="12" t="n">
        <v>10</v>
      </c>
      <c r="B387" s="12" t="inlineStr">
        <is>
          <t>Oct</t>
        </is>
      </c>
      <c r="C387" s="12" t="inlineStr">
        <is>
          <t>CHANNEL</t>
        </is>
      </c>
      <c r="D387" s="12" t="inlineStr">
        <is>
          <t>Distributor Channel</t>
        </is>
      </c>
      <c r="E387" s="12" t="inlineStr">
        <is>
          <t>OPEX</t>
        </is>
      </c>
      <c r="F387" s="12" t="inlineStr">
        <is>
          <t>Operating Expenses</t>
        </is>
      </c>
      <c r="G387" s="12" t="inlineStr">
        <is>
          <t>PROFSVC</t>
        </is>
      </c>
      <c r="H387" s="12" t="inlineStr">
        <is>
          <t>Professional Fees</t>
        </is>
      </c>
      <c r="I387" s="13" t="n">
        <v>3363</v>
      </c>
    </row>
    <row r="388">
      <c r="A388" s="12" t="n">
        <v>10</v>
      </c>
      <c r="B388" s="12" t="inlineStr">
        <is>
          <t>Oct</t>
        </is>
      </c>
      <c r="C388" s="12" t="inlineStr">
        <is>
          <t>SERVICE</t>
        </is>
      </c>
      <c r="D388" s="12" t="inlineStr">
        <is>
          <t>Service and Support</t>
        </is>
      </c>
      <c r="E388" s="12" t="inlineStr">
        <is>
          <t>OPEX</t>
        </is>
      </c>
      <c r="F388" s="12" t="inlineStr">
        <is>
          <t>Operating Expenses</t>
        </is>
      </c>
      <c r="G388" s="12" t="inlineStr">
        <is>
          <t>PROFSVC</t>
        </is>
      </c>
      <c r="H388" s="12" t="inlineStr">
        <is>
          <t>Professional Fees</t>
        </is>
      </c>
      <c r="I388" s="13" t="n">
        <v>1682</v>
      </c>
    </row>
    <row r="389">
      <c r="A389" s="12" t="n">
        <v>10</v>
      </c>
      <c r="B389" s="12" t="inlineStr">
        <is>
          <t>Oct</t>
        </is>
      </c>
      <c r="C389" s="12" t="inlineStr">
        <is>
          <t>SALES</t>
        </is>
      </c>
      <c r="D389" s="12" t="inlineStr">
        <is>
          <t>Direct Sales</t>
        </is>
      </c>
      <c r="E389" s="12" t="inlineStr">
        <is>
          <t>OPEX</t>
        </is>
      </c>
      <c r="F389" s="12" t="inlineStr">
        <is>
          <t>Operating Expenses</t>
        </is>
      </c>
      <c r="G389" s="12" t="inlineStr">
        <is>
          <t>DEPREC</t>
        </is>
      </c>
      <c r="H389" s="12" t="inlineStr">
        <is>
          <t>Depreciation</t>
        </is>
      </c>
      <c r="I389" s="13" t="n">
        <v>5814</v>
      </c>
    </row>
    <row r="390">
      <c r="A390" s="12" t="n">
        <v>10</v>
      </c>
      <c r="B390" s="12" t="inlineStr">
        <is>
          <t>Oct</t>
        </is>
      </c>
      <c r="C390" s="12" t="inlineStr">
        <is>
          <t>CHANNEL</t>
        </is>
      </c>
      <c r="D390" s="12" t="inlineStr">
        <is>
          <t>Distributor Channel</t>
        </is>
      </c>
      <c r="E390" s="12" t="inlineStr">
        <is>
          <t>OPEX</t>
        </is>
      </c>
      <c r="F390" s="12" t="inlineStr">
        <is>
          <t>Operating Expenses</t>
        </is>
      </c>
      <c r="G390" s="12" t="inlineStr">
        <is>
          <t>DEPREC</t>
        </is>
      </c>
      <c r="H390" s="12" t="inlineStr">
        <is>
          <t>Depreciation</t>
        </is>
      </c>
      <c r="I390" s="13" t="n">
        <v>5643</v>
      </c>
    </row>
    <row r="391">
      <c r="A391" s="12" t="n">
        <v>10</v>
      </c>
      <c r="B391" s="12" t="inlineStr">
        <is>
          <t>Oct</t>
        </is>
      </c>
      <c r="C391" s="12" t="inlineStr">
        <is>
          <t>SERVICE</t>
        </is>
      </c>
      <c r="D391" s="12" t="inlineStr">
        <is>
          <t>Service and Support</t>
        </is>
      </c>
      <c r="E391" s="12" t="inlineStr">
        <is>
          <t>OPEX</t>
        </is>
      </c>
      <c r="F391" s="12" t="inlineStr">
        <is>
          <t>Operating Expenses</t>
        </is>
      </c>
      <c r="G391" s="12" t="inlineStr">
        <is>
          <t>DEPREC</t>
        </is>
      </c>
      <c r="H391" s="12" t="inlineStr">
        <is>
          <t>Depreciation</t>
        </is>
      </c>
      <c r="I391" s="13" t="n">
        <v>5643</v>
      </c>
    </row>
    <row r="392">
      <c r="A392" s="12" t="n">
        <v>10</v>
      </c>
      <c r="B392" s="12" t="inlineStr">
        <is>
          <t>Oct</t>
        </is>
      </c>
      <c r="C392" s="12" t="inlineStr">
        <is>
          <t>SALES</t>
        </is>
      </c>
      <c r="D392" s="12" t="inlineStr">
        <is>
          <t>Direct Sales</t>
        </is>
      </c>
      <c r="E392" s="12" t="inlineStr">
        <is>
          <t>OPEX</t>
        </is>
      </c>
      <c r="F392" s="12" t="inlineStr">
        <is>
          <t>Operating Expenses</t>
        </is>
      </c>
      <c r="G392" s="12" t="inlineStr">
        <is>
          <t>FINANCE</t>
        </is>
      </c>
      <c r="H392" s="12" t="inlineStr">
        <is>
          <t>Finance Costs</t>
        </is>
      </c>
      <c r="I392" s="13" t="n">
        <v>3101</v>
      </c>
    </row>
    <row r="393">
      <c r="A393" s="12" t="n">
        <v>10</v>
      </c>
      <c r="B393" s="12" t="inlineStr">
        <is>
          <t>Oct</t>
        </is>
      </c>
      <c r="C393" s="12" t="inlineStr">
        <is>
          <t>CHANNEL</t>
        </is>
      </c>
      <c r="D393" s="12" t="inlineStr">
        <is>
          <t>Distributor Channel</t>
        </is>
      </c>
      <c r="E393" s="12" t="inlineStr">
        <is>
          <t>OPEX</t>
        </is>
      </c>
      <c r="F393" s="12" t="inlineStr">
        <is>
          <t>Operating Expenses</t>
        </is>
      </c>
      <c r="G393" s="12" t="inlineStr">
        <is>
          <t>FINANCE</t>
        </is>
      </c>
      <c r="H393" s="12" t="inlineStr">
        <is>
          <t>Finance Costs</t>
        </is>
      </c>
      <c r="I393" s="13" t="n">
        <v>3010</v>
      </c>
    </row>
    <row r="394">
      <c r="A394" s="12" t="n">
        <v>10</v>
      </c>
      <c r="B394" s="12" t="inlineStr">
        <is>
          <t>Oct</t>
        </is>
      </c>
      <c r="C394" s="12" t="inlineStr">
        <is>
          <t>SERVICE</t>
        </is>
      </c>
      <c r="D394" s="12" t="inlineStr">
        <is>
          <t>Service and Support</t>
        </is>
      </c>
      <c r="E394" s="12" t="inlineStr">
        <is>
          <t>OPEX</t>
        </is>
      </c>
      <c r="F394" s="12" t="inlineStr">
        <is>
          <t>Operating Expenses</t>
        </is>
      </c>
      <c r="G394" s="12" t="inlineStr">
        <is>
          <t>FINANCE</t>
        </is>
      </c>
      <c r="H394" s="12" t="inlineStr">
        <is>
          <t>Finance Costs</t>
        </is>
      </c>
      <c r="I394" s="13" t="n">
        <v>3010</v>
      </c>
    </row>
    <row r="395">
      <c r="A395" s="12" t="n">
        <v>11</v>
      </c>
      <c r="B395" s="12" t="inlineStr">
        <is>
          <t>Nov</t>
        </is>
      </c>
      <c r="C395" s="12" t="inlineStr">
        <is>
          <t>SALES</t>
        </is>
      </c>
      <c r="D395" s="12" t="inlineStr">
        <is>
          <t>Direct Sales</t>
        </is>
      </c>
      <c r="E395" s="12" t="inlineStr">
        <is>
          <t>REVENUE</t>
        </is>
      </c>
      <c r="F395" s="12" t="inlineStr">
        <is>
          <t>Revenue</t>
        </is>
      </c>
      <c r="G395" s="12" t="inlineStr">
        <is>
          <t>REVENUE_PROD</t>
        </is>
      </c>
      <c r="H395" s="12" t="inlineStr">
        <is>
          <t>Product Revenue</t>
        </is>
      </c>
      <c r="I395" s="13" t="n">
        <v>600160</v>
      </c>
    </row>
    <row r="396">
      <c r="A396" s="12" t="n">
        <v>11</v>
      </c>
      <c r="B396" s="12" t="inlineStr">
        <is>
          <t>Nov</t>
        </is>
      </c>
      <c r="C396" s="12" t="inlineStr">
        <is>
          <t>CHANNEL</t>
        </is>
      </c>
      <c r="D396" s="12" t="inlineStr">
        <is>
          <t>Distributor Channel</t>
        </is>
      </c>
      <c r="E396" s="12" t="inlineStr">
        <is>
          <t>REVENUE</t>
        </is>
      </c>
      <c r="F396" s="12" t="inlineStr">
        <is>
          <t>Revenue</t>
        </is>
      </c>
      <c r="G396" s="12" t="inlineStr">
        <is>
          <t>REVENUE_PROD</t>
        </is>
      </c>
      <c r="H396" s="12" t="inlineStr">
        <is>
          <t>Product Revenue</t>
        </is>
      </c>
      <c r="I396" s="13" t="n">
        <v>327360</v>
      </c>
    </row>
    <row r="397">
      <c r="A397" s="12" t="n">
        <v>11</v>
      </c>
      <c r="B397" s="12" t="inlineStr">
        <is>
          <t>Nov</t>
        </is>
      </c>
      <c r="C397" s="12" t="inlineStr">
        <is>
          <t>SERVICE</t>
        </is>
      </c>
      <c r="D397" s="12" t="inlineStr">
        <is>
          <t>Service and Support</t>
        </is>
      </c>
      <c r="E397" s="12" t="inlineStr">
        <is>
          <t>REVENUE</t>
        </is>
      </c>
      <c r="F397" s="12" t="inlineStr">
        <is>
          <t>Revenue</t>
        </is>
      </c>
      <c r="G397" s="12" t="inlineStr">
        <is>
          <t>REVENUE_PROD</t>
        </is>
      </c>
      <c r="H397" s="12" t="inlineStr">
        <is>
          <t>Product Revenue</t>
        </is>
      </c>
      <c r="I397" s="13" t="n">
        <v>163680</v>
      </c>
    </row>
    <row r="398">
      <c r="A398" s="12" t="n">
        <v>11</v>
      </c>
      <c r="B398" s="12" t="inlineStr">
        <is>
          <t>Nov</t>
        </is>
      </c>
      <c r="C398" s="12" t="inlineStr">
        <is>
          <t>SALES</t>
        </is>
      </c>
      <c r="D398" s="12" t="inlineStr">
        <is>
          <t>Direct Sales</t>
        </is>
      </c>
      <c r="E398" s="12" t="inlineStr">
        <is>
          <t>REVENUE</t>
        </is>
      </c>
      <c r="F398" s="12" t="inlineStr">
        <is>
          <t>Revenue</t>
        </is>
      </c>
      <c r="G398" s="12" t="inlineStr">
        <is>
          <t>REVENUE_SVC</t>
        </is>
      </c>
      <c r="H398" s="12" t="inlineStr">
        <is>
          <t>Service Revenue</t>
        </is>
      </c>
      <c r="I398" s="13" t="n">
        <v>5060</v>
      </c>
    </row>
    <row r="399">
      <c r="A399" s="12" t="n">
        <v>11</v>
      </c>
      <c r="B399" s="12" t="inlineStr">
        <is>
          <t>Nov</t>
        </is>
      </c>
      <c r="C399" s="12" t="inlineStr">
        <is>
          <t>CHANNEL</t>
        </is>
      </c>
      <c r="D399" s="12" t="inlineStr">
        <is>
          <t>Distributor Channel</t>
        </is>
      </c>
      <c r="E399" s="12" t="inlineStr">
        <is>
          <t>REVENUE</t>
        </is>
      </c>
      <c r="F399" s="12" t="inlineStr">
        <is>
          <t>Revenue</t>
        </is>
      </c>
      <c r="G399" s="12" t="inlineStr">
        <is>
          <t>REVENUE_SVC</t>
        </is>
      </c>
      <c r="H399" s="12" t="inlineStr">
        <is>
          <t>Service Revenue</t>
        </is>
      </c>
      <c r="I399" s="13" t="n">
        <v>5060</v>
      </c>
    </row>
    <row r="400">
      <c r="A400" s="12" t="n">
        <v>11</v>
      </c>
      <c r="B400" s="12" t="inlineStr">
        <is>
          <t>Nov</t>
        </is>
      </c>
      <c r="C400" s="12" t="inlineStr">
        <is>
          <t>SERVICE</t>
        </is>
      </c>
      <c r="D400" s="12" t="inlineStr">
        <is>
          <t>Service and Support</t>
        </is>
      </c>
      <c r="E400" s="12" t="inlineStr">
        <is>
          <t>REVENUE</t>
        </is>
      </c>
      <c r="F400" s="12" t="inlineStr">
        <is>
          <t>Revenue</t>
        </is>
      </c>
      <c r="G400" s="12" t="inlineStr">
        <is>
          <t>REVENUE_SVC</t>
        </is>
      </c>
      <c r="H400" s="12" t="inlineStr">
        <is>
          <t>Service Revenue</t>
        </is>
      </c>
      <c r="I400" s="13" t="n">
        <v>91080</v>
      </c>
    </row>
    <row r="401">
      <c r="A401" s="12" t="n">
        <v>11</v>
      </c>
      <c r="B401" s="12" t="inlineStr">
        <is>
          <t>Nov</t>
        </is>
      </c>
      <c r="C401" s="12" t="inlineStr">
        <is>
          <t>SALES</t>
        </is>
      </c>
      <c r="D401" s="12" t="inlineStr">
        <is>
          <t>Direct Sales</t>
        </is>
      </c>
      <c r="E401" s="12" t="inlineStr">
        <is>
          <t>COGS</t>
        </is>
      </c>
      <c r="F401" s="12" t="inlineStr">
        <is>
          <t>Cost of Sales</t>
        </is>
      </c>
      <c r="G401" s="12" t="inlineStr">
        <is>
          <t>COGS</t>
        </is>
      </c>
      <c r="H401" s="12" t="inlineStr">
        <is>
          <t>Cost of Goods Sold</t>
        </is>
      </c>
      <c r="I401" s="13" t="n">
        <v>390104</v>
      </c>
    </row>
    <row r="402">
      <c r="A402" s="12" t="n">
        <v>11</v>
      </c>
      <c r="B402" s="12" t="inlineStr">
        <is>
          <t>Nov</t>
        </is>
      </c>
      <c r="C402" s="12" t="inlineStr">
        <is>
          <t>CHANNEL</t>
        </is>
      </c>
      <c r="D402" s="12" t="inlineStr">
        <is>
          <t>Distributor Channel</t>
        </is>
      </c>
      <c r="E402" s="12" t="inlineStr">
        <is>
          <t>COGS</t>
        </is>
      </c>
      <c r="F402" s="12" t="inlineStr">
        <is>
          <t>Cost of Sales</t>
        </is>
      </c>
      <c r="G402" s="12" t="inlineStr">
        <is>
          <t>COGS</t>
        </is>
      </c>
      <c r="H402" s="12" t="inlineStr">
        <is>
          <t>Cost of Goods Sold</t>
        </is>
      </c>
      <c r="I402" s="13" t="n">
        <v>212784</v>
      </c>
    </row>
    <row r="403">
      <c r="A403" s="12" t="n">
        <v>11</v>
      </c>
      <c r="B403" s="12" t="inlineStr">
        <is>
          <t>Nov</t>
        </is>
      </c>
      <c r="C403" s="12" t="inlineStr">
        <is>
          <t>SERVICE</t>
        </is>
      </c>
      <c r="D403" s="12" t="inlineStr">
        <is>
          <t>Service and Support</t>
        </is>
      </c>
      <c r="E403" s="12" t="inlineStr">
        <is>
          <t>COGS</t>
        </is>
      </c>
      <c r="F403" s="12" t="inlineStr">
        <is>
          <t>Cost of Sales</t>
        </is>
      </c>
      <c r="G403" s="12" t="inlineStr">
        <is>
          <t>COGS</t>
        </is>
      </c>
      <c r="H403" s="12" t="inlineStr">
        <is>
          <t>Cost of Goods Sold</t>
        </is>
      </c>
      <c r="I403" s="13" t="n">
        <v>106392</v>
      </c>
    </row>
    <row r="404">
      <c r="A404" s="12" t="n">
        <v>11</v>
      </c>
      <c r="B404" s="12" t="inlineStr">
        <is>
          <t>Nov</t>
        </is>
      </c>
      <c r="C404" s="12" t="inlineStr">
        <is>
          <t>SALES</t>
        </is>
      </c>
      <c r="D404" s="12" t="inlineStr">
        <is>
          <t>Direct Sales</t>
        </is>
      </c>
      <c r="E404" s="12" t="inlineStr">
        <is>
          <t>OPEX</t>
        </is>
      </c>
      <c r="F404" s="12" t="inlineStr">
        <is>
          <t>Operating Expenses</t>
        </is>
      </c>
      <c r="G404" s="12" t="inlineStr">
        <is>
          <t>SALARY</t>
        </is>
      </c>
      <c r="H404" s="12" t="inlineStr">
        <is>
          <t>Payroll</t>
        </is>
      </c>
      <c r="I404" s="13" t="n">
        <v>99220</v>
      </c>
    </row>
    <row r="405">
      <c r="A405" s="12" t="n">
        <v>11</v>
      </c>
      <c r="B405" s="12" t="inlineStr">
        <is>
          <t>Nov</t>
        </is>
      </c>
      <c r="C405" s="12" t="inlineStr">
        <is>
          <t>CHANNEL</t>
        </is>
      </c>
      <c r="D405" s="12" t="inlineStr">
        <is>
          <t>Distributor Channel</t>
        </is>
      </c>
      <c r="E405" s="12" t="inlineStr">
        <is>
          <t>OPEX</t>
        </is>
      </c>
      <c r="F405" s="12" t="inlineStr">
        <is>
          <t>Operating Expenses</t>
        </is>
      </c>
      <c r="G405" s="12" t="inlineStr">
        <is>
          <t>SALARY</t>
        </is>
      </c>
      <c r="H405" s="12" t="inlineStr">
        <is>
          <t>Payroll</t>
        </is>
      </c>
      <c r="I405" s="13" t="n">
        <v>54120</v>
      </c>
    </row>
    <row r="406">
      <c r="A406" s="12" t="n">
        <v>11</v>
      </c>
      <c r="B406" s="12" t="inlineStr">
        <is>
          <t>Nov</t>
        </is>
      </c>
      <c r="C406" s="12" t="inlineStr">
        <is>
          <t>SERVICE</t>
        </is>
      </c>
      <c r="D406" s="12" t="inlineStr">
        <is>
          <t>Service and Support</t>
        </is>
      </c>
      <c r="E406" s="12" t="inlineStr">
        <is>
          <t>OPEX</t>
        </is>
      </c>
      <c r="F406" s="12" t="inlineStr">
        <is>
          <t>Operating Expenses</t>
        </is>
      </c>
      <c r="G406" s="12" t="inlineStr">
        <is>
          <t>SALARY</t>
        </is>
      </c>
      <c r="H406" s="12" t="inlineStr">
        <is>
          <t>Payroll</t>
        </is>
      </c>
      <c r="I406" s="13" t="n">
        <v>27060</v>
      </c>
    </row>
    <row r="407">
      <c r="A407" s="12" t="n">
        <v>11</v>
      </c>
      <c r="B407" s="12" t="inlineStr">
        <is>
          <t>Nov</t>
        </is>
      </c>
      <c r="C407" s="12" t="inlineStr">
        <is>
          <t>SALES</t>
        </is>
      </c>
      <c r="D407" s="12" t="inlineStr">
        <is>
          <t>Direct Sales</t>
        </is>
      </c>
      <c r="E407" s="12" t="inlineStr">
        <is>
          <t>OPEX</t>
        </is>
      </c>
      <c r="F407" s="12" t="inlineStr">
        <is>
          <t>Operating Expenses</t>
        </is>
      </c>
      <c r="G407" s="12" t="inlineStr">
        <is>
          <t>RENT</t>
        </is>
      </c>
      <c r="H407" s="12" t="inlineStr">
        <is>
          <t>Rent and Facilities</t>
        </is>
      </c>
      <c r="I407" s="13" t="n">
        <v>11848</v>
      </c>
    </row>
    <row r="408">
      <c r="A408" s="12" t="n">
        <v>11</v>
      </c>
      <c r="B408" s="12" t="inlineStr">
        <is>
          <t>Nov</t>
        </is>
      </c>
      <c r="C408" s="12" t="inlineStr">
        <is>
          <t>CHANNEL</t>
        </is>
      </c>
      <c r="D408" s="12" t="inlineStr">
        <is>
          <t>Distributor Channel</t>
        </is>
      </c>
      <c r="E408" s="12" t="inlineStr">
        <is>
          <t>OPEX</t>
        </is>
      </c>
      <c r="F408" s="12" t="inlineStr">
        <is>
          <t>Operating Expenses</t>
        </is>
      </c>
      <c r="G408" s="12" t="inlineStr">
        <is>
          <t>RENT</t>
        </is>
      </c>
      <c r="H408" s="12" t="inlineStr">
        <is>
          <t>Rent and Facilities</t>
        </is>
      </c>
      <c r="I408" s="13" t="n">
        <v>11500</v>
      </c>
    </row>
    <row r="409">
      <c r="A409" s="12" t="n">
        <v>11</v>
      </c>
      <c r="B409" s="12" t="inlineStr">
        <is>
          <t>Nov</t>
        </is>
      </c>
      <c r="C409" s="12" t="inlineStr">
        <is>
          <t>SERVICE</t>
        </is>
      </c>
      <c r="D409" s="12" t="inlineStr">
        <is>
          <t>Service and Support</t>
        </is>
      </c>
      <c r="E409" s="12" t="inlineStr">
        <is>
          <t>OPEX</t>
        </is>
      </c>
      <c r="F409" s="12" t="inlineStr">
        <is>
          <t>Operating Expenses</t>
        </is>
      </c>
      <c r="G409" s="12" t="inlineStr">
        <is>
          <t>RENT</t>
        </is>
      </c>
      <c r="H409" s="12" t="inlineStr">
        <is>
          <t>Rent and Facilities</t>
        </is>
      </c>
      <c r="I409" s="13" t="n">
        <v>11500</v>
      </c>
    </row>
    <row r="410">
      <c r="A410" s="12" t="n">
        <v>11</v>
      </c>
      <c r="B410" s="12" t="inlineStr">
        <is>
          <t>Nov</t>
        </is>
      </c>
      <c r="C410" s="12" t="inlineStr">
        <is>
          <t>SALES</t>
        </is>
      </c>
      <c r="D410" s="12" t="inlineStr">
        <is>
          <t>Direct Sales</t>
        </is>
      </c>
      <c r="E410" s="12" t="inlineStr">
        <is>
          <t>OPEX</t>
        </is>
      </c>
      <c r="F410" s="12" t="inlineStr">
        <is>
          <t>Operating Expenses</t>
        </is>
      </c>
      <c r="G410" s="12" t="inlineStr">
        <is>
          <t>VEHICLE</t>
        </is>
      </c>
      <c r="H410" s="12" t="inlineStr">
        <is>
          <t>Vehicle</t>
        </is>
      </c>
      <c r="I410" s="13" t="n">
        <v>10358</v>
      </c>
    </row>
    <row r="411">
      <c r="A411" s="12" t="n">
        <v>11</v>
      </c>
      <c r="B411" s="12" t="inlineStr">
        <is>
          <t>Nov</t>
        </is>
      </c>
      <c r="C411" s="12" t="inlineStr">
        <is>
          <t>CHANNEL</t>
        </is>
      </c>
      <c r="D411" s="12" t="inlineStr">
        <is>
          <t>Distributor Channel</t>
        </is>
      </c>
      <c r="E411" s="12" t="inlineStr">
        <is>
          <t>OPEX</t>
        </is>
      </c>
      <c r="F411" s="12" t="inlineStr">
        <is>
          <t>Operating Expenses</t>
        </is>
      </c>
      <c r="G411" s="12" t="inlineStr">
        <is>
          <t>VEHICLE</t>
        </is>
      </c>
      <c r="H411" s="12" t="inlineStr">
        <is>
          <t>Vehicle</t>
        </is>
      </c>
      <c r="I411" s="13" t="n">
        <v>5650</v>
      </c>
    </row>
    <row r="412">
      <c r="A412" s="12" t="n">
        <v>11</v>
      </c>
      <c r="B412" s="12" t="inlineStr">
        <is>
          <t>Nov</t>
        </is>
      </c>
      <c r="C412" s="12" t="inlineStr">
        <is>
          <t>SERVICE</t>
        </is>
      </c>
      <c r="D412" s="12" t="inlineStr">
        <is>
          <t>Service and Support</t>
        </is>
      </c>
      <c r="E412" s="12" t="inlineStr">
        <is>
          <t>OPEX</t>
        </is>
      </c>
      <c r="F412" s="12" t="inlineStr">
        <is>
          <t>Operating Expenses</t>
        </is>
      </c>
      <c r="G412" s="12" t="inlineStr">
        <is>
          <t>VEHICLE</t>
        </is>
      </c>
      <c r="H412" s="12" t="inlineStr">
        <is>
          <t>Vehicle</t>
        </is>
      </c>
      <c r="I412" s="13" t="n">
        <v>2825</v>
      </c>
    </row>
    <row r="413">
      <c r="A413" s="12" t="n">
        <v>11</v>
      </c>
      <c r="B413" s="12" t="inlineStr">
        <is>
          <t>Nov</t>
        </is>
      </c>
      <c r="C413" s="12" t="inlineStr">
        <is>
          <t>SALES</t>
        </is>
      </c>
      <c r="D413" s="12" t="inlineStr">
        <is>
          <t>Direct Sales</t>
        </is>
      </c>
      <c r="E413" s="12" t="inlineStr">
        <is>
          <t>OPEX</t>
        </is>
      </c>
      <c r="F413" s="12" t="inlineStr">
        <is>
          <t>Operating Expenses</t>
        </is>
      </c>
      <c r="G413" s="12" t="inlineStr">
        <is>
          <t>MARKETING</t>
        </is>
      </c>
      <c r="H413" s="12" t="inlineStr">
        <is>
          <t>Marketing</t>
        </is>
      </c>
      <c r="I413" s="13" t="n">
        <v>15972</v>
      </c>
    </row>
    <row r="414">
      <c r="A414" s="12" t="n">
        <v>11</v>
      </c>
      <c r="B414" s="12" t="inlineStr">
        <is>
          <t>Nov</t>
        </is>
      </c>
      <c r="C414" s="12" t="inlineStr">
        <is>
          <t>CHANNEL</t>
        </is>
      </c>
      <c r="D414" s="12" t="inlineStr">
        <is>
          <t>Distributor Channel</t>
        </is>
      </c>
      <c r="E414" s="12" t="inlineStr">
        <is>
          <t>OPEX</t>
        </is>
      </c>
      <c r="F414" s="12" t="inlineStr">
        <is>
          <t>Operating Expenses</t>
        </is>
      </c>
      <c r="G414" s="12" t="inlineStr">
        <is>
          <t>MARKETING</t>
        </is>
      </c>
      <c r="H414" s="12" t="inlineStr">
        <is>
          <t>Marketing</t>
        </is>
      </c>
      <c r="I414" s="13" t="n">
        <v>8712</v>
      </c>
    </row>
    <row r="415">
      <c r="A415" s="12" t="n">
        <v>11</v>
      </c>
      <c r="B415" s="12" t="inlineStr">
        <is>
          <t>Nov</t>
        </is>
      </c>
      <c r="C415" s="12" t="inlineStr">
        <is>
          <t>SERVICE</t>
        </is>
      </c>
      <c r="D415" s="12" t="inlineStr">
        <is>
          <t>Service and Support</t>
        </is>
      </c>
      <c r="E415" s="12" t="inlineStr">
        <is>
          <t>OPEX</t>
        </is>
      </c>
      <c r="F415" s="12" t="inlineStr">
        <is>
          <t>Operating Expenses</t>
        </is>
      </c>
      <c r="G415" s="12" t="inlineStr">
        <is>
          <t>MARKETING</t>
        </is>
      </c>
      <c r="H415" s="12" t="inlineStr">
        <is>
          <t>Marketing</t>
        </is>
      </c>
      <c r="I415" s="13" t="n">
        <v>4356</v>
      </c>
    </row>
    <row r="416">
      <c r="A416" s="12" t="n">
        <v>11</v>
      </c>
      <c r="B416" s="12" t="inlineStr">
        <is>
          <t>Nov</t>
        </is>
      </c>
      <c r="C416" s="12" t="inlineStr">
        <is>
          <t>SALES</t>
        </is>
      </c>
      <c r="D416" s="12" t="inlineStr">
        <is>
          <t>Direct Sales</t>
        </is>
      </c>
      <c r="E416" s="12" t="inlineStr">
        <is>
          <t>OPEX</t>
        </is>
      </c>
      <c r="F416" s="12" t="inlineStr">
        <is>
          <t>Operating Expenses</t>
        </is>
      </c>
      <c r="G416" s="12" t="inlineStr">
        <is>
          <t>ENTERTAIN</t>
        </is>
      </c>
      <c r="H416" s="12" t="inlineStr">
        <is>
          <t>Entertainment</t>
        </is>
      </c>
      <c r="I416" s="13" t="n">
        <v>2323</v>
      </c>
    </row>
    <row r="417">
      <c r="A417" s="12" t="n">
        <v>11</v>
      </c>
      <c r="B417" s="12" t="inlineStr">
        <is>
          <t>Nov</t>
        </is>
      </c>
      <c r="C417" s="12" t="inlineStr">
        <is>
          <t>CHANNEL</t>
        </is>
      </c>
      <c r="D417" s="12" t="inlineStr">
        <is>
          <t>Distributor Channel</t>
        </is>
      </c>
      <c r="E417" s="12" t="inlineStr">
        <is>
          <t>OPEX</t>
        </is>
      </c>
      <c r="F417" s="12" t="inlineStr">
        <is>
          <t>Operating Expenses</t>
        </is>
      </c>
      <c r="G417" s="12" t="inlineStr">
        <is>
          <t>ENTERTAIN</t>
        </is>
      </c>
      <c r="H417" s="12" t="inlineStr">
        <is>
          <t>Entertainment</t>
        </is>
      </c>
      <c r="I417" s="13" t="n">
        <v>1267</v>
      </c>
    </row>
    <row r="418">
      <c r="A418" s="12" t="n">
        <v>11</v>
      </c>
      <c r="B418" s="12" t="inlineStr">
        <is>
          <t>Nov</t>
        </is>
      </c>
      <c r="C418" s="12" t="inlineStr">
        <is>
          <t>SERVICE</t>
        </is>
      </c>
      <c r="D418" s="12" t="inlineStr">
        <is>
          <t>Service and Support</t>
        </is>
      </c>
      <c r="E418" s="12" t="inlineStr">
        <is>
          <t>OPEX</t>
        </is>
      </c>
      <c r="F418" s="12" t="inlineStr">
        <is>
          <t>Operating Expenses</t>
        </is>
      </c>
      <c r="G418" s="12" t="inlineStr">
        <is>
          <t>ENTERTAIN</t>
        </is>
      </c>
      <c r="H418" s="12" t="inlineStr">
        <is>
          <t>Entertainment</t>
        </is>
      </c>
      <c r="I418" s="13" t="n">
        <v>634</v>
      </c>
    </row>
    <row r="419">
      <c r="A419" s="12" t="n">
        <v>11</v>
      </c>
      <c r="B419" s="12" t="inlineStr">
        <is>
          <t>Nov</t>
        </is>
      </c>
      <c r="C419" s="12" t="inlineStr">
        <is>
          <t>SALES</t>
        </is>
      </c>
      <c r="D419" s="12" t="inlineStr">
        <is>
          <t>Direct Sales</t>
        </is>
      </c>
      <c r="E419" s="12" t="inlineStr">
        <is>
          <t>OPEX</t>
        </is>
      </c>
      <c r="F419" s="12" t="inlineStr">
        <is>
          <t>Operating Expenses</t>
        </is>
      </c>
      <c r="G419" s="12" t="inlineStr">
        <is>
          <t>OFFICE</t>
        </is>
      </c>
      <c r="H419" s="12" t="inlineStr">
        <is>
          <t>Office</t>
        </is>
      </c>
      <c r="I419" s="13" t="n">
        <v>6098</v>
      </c>
    </row>
    <row r="420">
      <c r="A420" s="12" t="n">
        <v>11</v>
      </c>
      <c r="B420" s="12" t="inlineStr">
        <is>
          <t>Nov</t>
        </is>
      </c>
      <c r="C420" s="12" t="inlineStr">
        <is>
          <t>CHANNEL</t>
        </is>
      </c>
      <c r="D420" s="12" t="inlineStr">
        <is>
          <t>Distributor Channel</t>
        </is>
      </c>
      <c r="E420" s="12" t="inlineStr">
        <is>
          <t>OPEX</t>
        </is>
      </c>
      <c r="F420" s="12" t="inlineStr">
        <is>
          <t>Operating Expenses</t>
        </is>
      </c>
      <c r="G420" s="12" t="inlineStr">
        <is>
          <t>OFFICE</t>
        </is>
      </c>
      <c r="H420" s="12" t="inlineStr">
        <is>
          <t>Office</t>
        </is>
      </c>
      <c r="I420" s="13" t="n">
        <v>3326</v>
      </c>
    </row>
    <row r="421">
      <c r="A421" s="12" t="n">
        <v>11</v>
      </c>
      <c r="B421" s="12" t="inlineStr">
        <is>
          <t>Nov</t>
        </is>
      </c>
      <c r="C421" s="12" t="inlineStr">
        <is>
          <t>SERVICE</t>
        </is>
      </c>
      <c r="D421" s="12" t="inlineStr">
        <is>
          <t>Service and Support</t>
        </is>
      </c>
      <c r="E421" s="12" t="inlineStr">
        <is>
          <t>OPEX</t>
        </is>
      </c>
      <c r="F421" s="12" t="inlineStr">
        <is>
          <t>Operating Expenses</t>
        </is>
      </c>
      <c r="G421" s="12" t="inlineStr">
        <is>
          <t>OFFICE</t>
        </is>
      </c>
      <c r="H421" s="12" t="inlineStr">
        <is>
          <t>Office</t>
        </is>
      </c>
      <c r="I421" s="13" t="n">
        <v>1663</v>
      </c>
    </row>
    <row r="422">
      <c r="A422" s="12" t="n">
        <v>11</v>
      </c>
      <c r="B422" s="12" t="inlineStr">
        <is>
          <t>Nov</t>
        </is>
      </c>
      <c r="C422" s="12" t="inlineStr">
        <is>
          <t>SALES</t>
        </is>
      </c>
      <c r="D422" s="12" t="inlineStr">
        <is>
          <t>Direct Sales</t>
        </is>
      </c>
      <c r="E422" s="12" t="inlineStr">
        <is>
          <t>OPEX</t>
        </is>
      </c>
      <c r="F422" s="12" t="inlineStr">
        <is>
          <t>Operating Expenses</t>
        </is>
      </c>
      <c r="G422" s="12" t="inlineStr">
        <is>
          <t>MERCHANT</t>
        </is>
      </c>
      <c r="H422" s="12" t="inlineStr">
        <is>
          <t>Merchant Fees</t>
        </is>
      </c>
      <c r="I422" s="13" t="n">
        <v>7357</v>
      </c>
    </row>
    <row r="423">
      <c r="A423" s="12" t="n">
        <v>11</v>
      </c>
      <c r="B423" s="12" t="inlineStr">
        <is>
          <t>Nov</t>
        </is>
      </c>
      <c r="C423" s="12" t="inlineStr">
        <is>
          <t>CHANNEL</t>
        </is>
      </c>
      <c r="D423" s="12" t="inlineStr">
        <is>
          <t>Distributor Channel</t>
        </is>
      </c>
      <c r="E423" s="12" t="inlineStr">
        <is>
          <t>OPEX</t>
        </is>
      </c>
      <c r="F423" s="12" t="inlineStr">
        <is>
          <t>Operating Expenses</t>
        </is>
      </c>
      <c r="G423" s="12" t="inlineStr">
        <is>
          <t>MERCHANT</t>
        </is>
      </c>
      <c r="H423" s="12" t="inlineStr">
        <is>
          <t>Merchant Fees</t>
        </is>
      </c>
      <c r="I423" s="13" t="n">
        <v>4013</v>
      </c>
    </row>
    <row r="424">
      <c r="A424" s="12" t="n">
        <v>11</v>
      </c>
      <c r="B424" s="12" t="inlineStr">
        <is>
          <t>Nov</t>
        </is>
      </c>
      <c r="C424" s="12" t="inlineStr">
        <is>
          <t>SERVICE</t>
        </is>
      </c>
      <c r="D424" s="12" t="inlineStr">
        <is>
          <t>Service and Support</t>
        </is>
      </c>
      <c r="E424" s="12" t="inlineStr">
        <is>
          <t>OPEX</t>
        </is>
      </c>
      <c r="F424" s="12" t="inlineStr">
        <is>
          <t>Operating Expenses</t>
        </is>
      </c>
      <c r="G424" s="12" t="inlineStr">
        <is>
          <t>MERCHANT</t>
        </is>
      </c>
      <c r="H424" s="12" t="inlineStr">
        <is>
          <t>Merchant Fees</t>
        </is>
      </c>
      <c r="I424" s="13" t="n">
        <v>2006</v>
      </c>
    </row>
    <row r="425">
      <c r="A425" s="12" t="n">
        <v>11</v>
      </c>
      <c r="B425" s="12" t="inlineStr">
        <is>
          <t>Nov</t>
        </is>
      </c>
      <c r="C425" s="12" t="inlineStr">
        <is>
          <t>SALES</t>
        </is>
      </c>
      <c r="D425" s="12" t="inlineStr">
        <is>
          <t>Direct Sales</t>
        </is>
      </c>
      <c r="E425" s="12" t="inlineStr">
        <is>
          <t>OPEX</t>
        </is>
      </c>
      <c r="F425" s="12" t="inlineStr">
        <is>
          <t>Operating Expenses</t>
        </is>
      </c>
      <c r="G425" s="12" t="inlineStr">
        <is>
          <t>PROFSVC</t>
        </is>
      </c>
      <c r="H425" s="12" t="inlineStr">
        <is>
          <t>Professional Fees</t>
        </is>
      </c>
      <c r="I425" s="13" t="n">
        <v>5711</v>
      </c>
    </row>
    <row r="426">
      <c r="A426" s="12" t="n">
        <v>11</v>
      </c>
      <c r="B426" s="12" t="inlineStr">
        <is>
          <t>Nov</t>
        </is>
      </c>
      <c r="C426" s="12" t="inlineStr">
        <is>
          <t>CHANNEL</t>
        </is>
      </c>
      <c r="D426" s="12" t="inlineStr">
        <is>
          <t>Distributor Channel</t>
        </is>
      </c>
      <c r="E426" s="12" t="inlineStr">
        <is>
          <t>OPEX</t>
        </is>
      </c>
      <c r="F426" s="12" t="inlineStr">
        <is>
          <t>Operating Expenses</t>
        </is>
      </c>
      <c r="G426" s="12" t="inlineStr">
        <is>
          <t>PROFSVC</t>
        </is>
      </c>
      <c r="H426" s="12" t="inlineStr">
        <is>
          <t>Professional Fees</t>
        </is>
      </c>
      <c r="I426" s="13" t="n">
        <v>3115</v>
      </c>
    </row>
    <row r="427">
      <c r="A427" s="12" t="n">
        <v>11</v>
      </c>
      <c r="B427" s="12" t="inlineStr">
        <is>
          <t>Nov</t>
        </is>
      </c>
      <c r="C427" s="12" t="inlineStr">
        <is>
          <t>SERVICE</t>
        </is>
      </c>
      <c r="D427" s="12" t="inlineStr">
        <is>
          <t>Service and Support</t>
        </is>
      </c>
      <c r="E427" s="12" t="inlineStr">
        <is>
          <t>OPEX</t>
        </is>
      </c>
      <c r="F427" s="12" t="inlineStr">
        <is>
          <t>Operating Expenses</t>
        </is>
      </c>
      <c r="G427" s="12" t="inlineStr">
        <is>
          <t>PROFSVC</t>
        </is>
      </c>
      <c r="H427" s="12" t="inlineStr">
        <is>
          <t>Professional Fees</t>
        </is>
      </c>
      <c r="I427" s="13" t="n">
        <v>1558</v>
      </c>
    </row>
    <row r="428">
      <c r="A428" s="12" t="n">
        <v>11</v>
      </c>
      <c r="B428" s="12" t="inlineStr">
        <is>
          <t>Nov</t>
        </is>
      </c>
      <c r="C428" s="12" t="inlineStr">
        <is>
          <t>SALES</t>
        </is>
      </c>
      <c r="D428" s="12" t="inlineStr">
        <is>
          <t>Direct Sales</t>
        </is>
      </c>
      <c r="E428" s="12" t="inlineStr">
        <is>
          <t>OPEX</t>
        </is>
      </c>
      <c r="F428" s="12" t="inlineStr">
        <is>
          <t>Operating Expenses</t>
        </is>
      </c>
      <c r="G428" s="12" t="inlineStr">
        <is>
          <t>DEPREC</t>
        </is>
      </c>
      <c r="H428" s="12" t="inlineStr">
        <is>
          <t>Depreciation</t>
        </is>
      </c>
      <c r="I428" s="13" t="n">
        <v>5386</v>
      </c>
    </row>
    <row r="429">
      <c r="A429" s="12" t="n">
        <v>11</v>
      </c>
      <c r="B429" s="12" t="inlineStr">
        <is>
          <t>Nov</t>
        </is>
      </c>
      <c r="C429" s="12" t="inlineStr">
        <is>
          <t>CHANNEL</t>
        </is>
      </c>
      <c r="D429" s="12" t="inlineStr">
        <is>
          <t>Distributor Channel</t>
        </is>
      </c>
      <c r="E429" s="12" t="inlineStr">
        <is>
          <t>OPEX</t>
        </is>
      </c>
      <c r="F429" s="12" t="inlineStr">
        <is>
          <t>Operating Expenses</t>
        </is>
      </c>
      <c r="G429" s="12" t="inlineStr">
        <is>
          <t>DEPREC</t>
        </is>
      </c>
      <c r="H429" s="12" t="inlineStr">
        <is>
          <t>Depreciation</t>
        </is>
      </c>
      <c r="I429" s="13" t="n">
        <v>5227</v>
      </c>
    </row>
    <row r="430">
      <c r="A430" s="12" t="n">
        <v>11</v>
      </c>
      <c r="B430" s="12" t="inlineStr">
        <is>
          <t>Nov</t>
        </is>
      </c>
      <c r="C430" s="12" t="inlineStr">
        <is>
          <t>SERVICE</t>
        </is>
      </c>
      <c r="D430" s="12" t="inlineStr">
        <is>
          <t>Service and Support</t>
        </is>
      </c>
      <c r="E430" s="12" t="inlineStr">
        <is>
          <t>OPEX</t>
        </is>
      </c>
      <c r="F430" s="12" t="inlineStr">
        <is>
          <t>Operating Expenses</t>
        </is>
      </c>
      <c r="G430" s="12" t="inlineStr">
        <is>
          <t>DEPREC</t>
        </is>
      </c>
      <c r="H430" s="12" t="inlineStr">
        <is>
          <t>Depreciation</t>
        </is>
      </c>
      <c r="I430" s="13" t="n">
        <v>5227</v>
      </c>
    </row>
    <row r="431">
      <c r="A431" s="12" t="n">
        <v>11</v>
      </c>
      <c r="B431" s="12" t="inlineStr">
        <is>
          <t>Nov</t>
        </is>
      </c>
      <c r="C431" s="12" t="inlineStr">
        <is>
          <t>SALES</t>
        </is>
      </c>
      <c r="D431" s="12" t="inlineStr">
        <is>
          <t>Direct Sales</t>
        </is>
      </c>
      <c r="E431" s="12" t="inlineStr">
        <is>
          <t>OPEX</t>
        </is>
      </c>
      <c r="F431" s="12" t="inlineStr">
        <is>
          <t>Operating Expenses</t>
        </is>
      </c>
      <c r="G431" s="12" t="inlineStr">
        <is>
          <t>FINANCE</t>
        </is>
      </c>
      <c r="H431" s="12" t="inlineStr">
        <is>
          <t>Finance Costs</t>
        </is>
      </c>
      <c r="I431" s="13" t="n">
        <v>2872</v>
      </c>
    </row>
    <row r="432">
      <c r="A432" s="12" t="n">
        <v>11</v>
      </c>
      <c r="B432" s="12" t="inlineStr">
        <is>
          <t>Nov</t>
        </is>
      </c>
      <c r="C432" s="12" t="inlineStr">
        <is>
          <t>CHANNEL</t>
        </is>
      </c>
      <c r="D432" s="12" t="inlineStr">
        <is>
          <t>Distributor Channel</t>
        </is>
      </c>
      <c r="E432" s="12" t="inlineStr">
        <is>
          <t>OPEX</t>
        </is>
      </c>
      <c r="F432" s="12" t="inlineStr">
        <is>
          <t>Operating Expenses</t>
        </is>
      </c>
      <c r="G432" s="12" t="inlineStr">
        <is>
          <t>FINANCE</t>
        </is>
      </c>
      <c r="H432" s="12" t="inlineStr">
        <is>
          <t>Finance Costs</t>
        </is>
      </c>
      <c r="I432" s="13" t="n">
        <v>2788</v>
      </c>
    </row>
    <row r="433">
      <c r="A433" s="12" t="n">
        <v>11</v>
      </c>
      <c r="B433" s="12" t="inlineStr">
        <is>
          <t>Nov</t>
        </is>
      </c>
      <c r="C433" s="12" t="inlineStr">
        <is>
          <t>SERVICE</t>
        </is>
      </c>
      <c r="D433" s="12" t="inlineStr">
        <is>
          <t>Service and Support</t>
        </is>
      </c>
      <c r="E433" s="12" t="inlineStr">
        <is>
          <t>OPEX</t>
        </is>
      </c>
      <c r="F433" s="12" t="inlineStr">
        <is>
          <t>Operating Expenses</t>
        </is>
      </c>
      <c r="G433" s="12" t="inlineStr">
        <is>
          <t>FINANCE</t>
        </is>
      </c>
      <c r="H433" s="12" t="inlineStr">
        <is>
          <t>Finance Costs</t>
        </is>
      </c>
      <c r="I433" s="13" t="n">
        <v>2788</v>
      </c>
    </row>
    <row r="434">
      <c r="A434" s="12" t="n">
        <v>12</v>
      </c>
      <c r="B434" s="12" t="inlineStr">
        <is>
          <t>Dec</t>
        </is>
      </c>
      <c r="C434" s="12" t="inlineStr">
        <is>
          <t>SALES</t>
        </is>
      </c>
      <c r="D434" s="12" t="inlineStr">
        <is>
          <t>Direct Sales</t>
        </is>
      </c>
      <c r="E434" s="12" t="inlineStr">
        <is>
          <t>REVENUE</t>
        </is>
      </c>
      <c r="F434" s="12" t="inlineStr">
        <is>
          <t>Revenue</t>
        </is>
      </c>
      <c r="G434" s="12" t="inlineStr">
        <is>
          <t>REVENUE_PROD</t>
        </is>
      </c>
      <c r="H434" s="12" t="inlineStr">
        <is>
          <t>Product Revenue</t>
        </is>
      </c>
      <c r="I434" s="13" t="n">
        <v>702460</v>
      </c>
    </row>
    <row r="435">
      <c r="A435" s="12" t="n">
        <v>12</v>
      </c>
      <c r="B435" s="12" t="inlineStr">
        <is>
          <t>Dec</t>
        </is>
      </c>
      <c r="C435" s="12" t="inlineStr">
        <is>
          <t>CHANNEL</t>
        </is>
      </c>
      <c r="D435" s="12" t="inlineStr">
        <is>
          <t>Distributor Channel</t>
        </is>
      </c>
      <c r="E435" s="12" t="inlineStr">
        <is>
          <t>REVENUE</t>
        </is>
      </c>
      <c r="F435" s="12" t="inlineStr">
        <is>
          <t>Revenue</t>
        </is>
      </c>
      <c r="G435" s="12" t="inlineStr">
        <is>
          <t>REVENUE_PROD</t>
        </is>
      </c>
      <c r="H435" s="12" t="inlineStr">
        <is>
          <t>Product Revenue</t>
        </is>
      </c>
      <c r="I435" s="13" t="n">
        <v>383160</v>
      </c>
    </row>
    <row r="436">
      <c r="A436" s="12" t="n">
        <v>12</v>
      </c>
      <c r="B436" s="12" t="inlineStr">
        <is>
          <t>Dec</t>
        </is>
      </c>
      <c r="C436" s="12" t="inlineStr">
        <is>
          <t>SERVICE</t>
        </is>
      </c>
      <c r="D436" s="12" t="inlineStr">
        <is>
          <t>Service and Support</t>
        </is>
      </c>
      <c r="E436" s="12" t="inlineStr">
        <is>
          <t>REVENUE</t>
        </is>
      </c>
      <c r="F436" s="12" t="inlineStr">
        <is>
          <t>Revenue</t>
        </is>
      </c>
      <c r="G436" s="12" t="inlineStr">
        <is>
          <t>REVENUE_PROD</t>
        </is>
      </c>
      <c r="H436" s="12" t="inlineStr">
        <is>
          <t>Product Revenue</t>
        </is>
      </c>
      <c r="I436" s="13" t="n">
        <v>191580</v>
      </c>
    </row>
    <row r="437">
      <c r="A437" s="12" t="n">
        <v>12</v>
      </c>
      <c r="B437" s="12" t="inlineStr">
        <is>
          <t>Dec</t>
        </is>
      </c>
      <c r="C437" s="12" t="inlineStr">
        <is>
          <t>SALES</t>
        </is>
      </c>
      <c r="D437" s="12" t="inlineStr">
        <is>
          <t>Direct Sales</t>
        </is>
      </c>
      <c r="E437" s="12" t="inlineStr">
        <is>
          <t>REVENUE</t>
        </is>
      </c>
      <c r="F437" s="12" t="inlineStr">
        <is>
          <t>Revenue</t>
        </is>
      </c>
      <c r="G437" s="12" t="inlineStr">
        <is>
          <t>REVENUE_SVC</t>
        </is>
      </c>
      <c r="H437" s="12" t="inlineStr">
        <is>
          <t>Service Revenue</t>
        </is>
      </c>
      <c r="I437" s="13" t="n">
        <v>5922</v>
      </c>
    </row>
    <row r="438">
      <c r="A438" s="12" t="n">
        <v>12</v>
      </c>
      <c r="B438" s="12" t="inlineStr">
        <is>
          <t>Dec</t>
        </is>
      </c>
      <c r="C438" s="12" t="inlineStr">
        <is>
          <t>CHANNEL</t>
        </is>
      </c>
      <c r="D438" s="12" t="inlineStr">
        <is>
          <t>Distributor Channel</t>
        </is>
      </c>
      <c r="E438" s="12" t="inlineStr">
        <is>
          <t>REVENUE</t>
        </is>
      </c>
      <c r="F438" s="12" t="inlineStr">
        <is>
          <t>Revenue</t>
        </is>
      </c>
      <c r="G438" s="12" t="inlineStr">
        <is>
          <t>REVENUE_SVC</t>
        </is>
      </c>
      <c r="H438" s="12" t="inlineStr">
        <is>
          <t>Service Revenue</t>
        </is>
      </c>
      <c r="I438" s="13" t="n">
        <v>5922</v>
      </c>
    </row>
    <row r="439">
      <c r="A439" s="12" t="n">
        <v>12</v>
      </c>
      <c r="B439" s="12" t="inlineStr">
        <is>
          <t>Dec</t>
        </is>
      </c>
      <c r="C439" s="12" t="inlineStr">
        <is>
          <t>SERVICE</t>
        </is>
      </c>
      <c r="D439" s="12" t="inlineStr">
        <is>
          <t>Service and Support</t>
        </is>
      </c>
      <c r="E439" s="12" t="inlineStr">
        <is>
          <t>REVENUE</t>
        </is>
      </c>
      <c r="F439" s="12" t="inlineStr">
        <is>
          <t>Revenue</t>
        </is>
      </c>
      <c r="G439" s="12" t="inlineStr">
        <is>
          <t>REVENUE_SVC</t>
        </is>
      </c>
      <c r="H439" s="12" t="inlineStr">
        <is>
          <t>Service Revenue</t>
        </is>
      </c>
      <c r="I439" s="13" t="n">
        <v>106605</v>
      </c>
    </row>
    <row r="440">
      <c r="A440" s="12" t="n">
        <v>12</v>
      </c>
      <c r="B440" s="12" t="inlineStr">
        <is>
          <t>Dec</t>
        </is>
      </c>
      <c r="C440" s="12" t="inlineStr">
        <is>
          <t>SALES</t>
        </is>
      </c>
      <c r="D440" s="12" t="inlineStr">
        <is>
          <t>Direct Sales</t>
        </is>
      </c>
      <c r="E440" s="12" t="inlineStr">
        <is>
          <t>COGS</t>
        </is>
      </c>
      <c r="F440" s="12" t="inlineStr">
        <is>
          <t>Cost of Sales</t>
        </is>
      </c>
      <c r="G440" s="12" t="inlineStr">
        <is>
          <t>COGS</t>
        </is>
      </c>
      <c r="H440" s="12" t="inlineStr">
        <is>
          <t>Cost of Goods Sold</t>
        </is>
      </c>
      <c r="I440" s="13" t="n">
        <v>456599</v>
      </c>
    </row>
    <row r="441">
      <c r="A441" s="12" t="n">
        <v>12</v>
      </c>
      <c r="B441" s="12" t="inlineStr">
        <is>
          <t>Dec</t>
        </is>
      </c>
      <c r="C441" s="12" t="inlineStr">
        <is>
          <t>CHANNEL</t>
        </is>
      </c>
      <c r="D441" s="12" t="inlineStr">
        <is>
          <t>Distributor Channel</t>
        </is>
      </c>
      <c r="E441" s="12" t="inlineStr">
        <is>
          <t>COGS</t>
        </is>
      </c>
      <c r="F441" s="12" t="inlineStr">
        <is>
          <t>Cost of Sales</t>
        </is>
      </c>
      <c r="G441" s="12" t="inlineStr">
        <is>
          <t>COGS</t>
        </is>
      </c>
      <c r="H441" s="12" t="inlineStr">
        <is>
          <t>Cost of Goods Sold</t>
        </is>
      </c>
      <c r="I441" s="13" t="n">
        <v>249054</v>
      </c>
    </row>
    <row r="442">
      <c r="A442" s="12" t="n">
        <v>12</v>
      </c>
      <c r="B442" s="12" t="inlineStr">
        <is>
          <t>Dec</t>
        </is>
      </c>
      <c r="C442" s="12" t="inlineStr">
        <is>
          <t>SERVICE</t>
        </is>
      </c>
      <c r="D442" s="12" t="inlineStr">
        <is>
          <t>Service and Support</t>
        </is>
      </c>
      <c r="E442" s="12" t="inlineStr">
        <is>
          <t>COGS</t>
        </is>
      </c>
      <c r="F442" s="12" t="inlineStr">
        <is>
          <t>Cost of Sales</t>
        </is>
      </c>
      <c r="G442" s="12" t="inlineStr">
        <is>
          <t>COGS</t>
        </is>
      </c>
      <c r="H442" s="12" t="inlineStr">
        <is>
          <t>Cost of Goods Sold</t>
        </is>
      </c>
      <c r="I442" s="13" t="n">
        <v>124527</v>
      </c>
    </row>
    <row r="443">
      <c r="A443" s="12" t="n">
        <v>12</v>
      </c>
      <c r="B443" s="12" t="inlineStr">
        <is>
          <t>Dec</t>
        </is>
      </c>
      <c r="C443" s="12" t="inlineStr">
        <is>
          <t>SALES</t>
        </is>
      </c>
      <c r="D443" s="12" t="inlineStr">
        <is>
          <t>Direct Sales</t>
        </is>
      </c>
      <c r="E443" s="12" t="inlineStr">
        <is>
          <t>OPEX</t>
        </is>
      </c>
      <c r="F443" s="12" t="inlineStr">
        <is>
          <t>Operating Expenses</t>
        </is>
      </c>
      <c r="G443" s="12" t="inlineStr">
        <is>
          <t>SALARY</t>
        </is>
      </c>
      <c r="H443" s="12" t="inlineStr">
        <is>
          <t>Payroll</t>
        </is>
      </c>
      <c r="I443" s="13" t="n">
        <v>116133</v>
      </c>
    </row>
    <row r="444">
      <c r="A444" s="12" t="n">
        <v>12</v>
      </c>
      <c r="B444" s="12" t="inlineStr">
        <is>
          <t>Dec</t>
        </is>
      </c>
      <c r="C444" s="12" t="inlineStr">
        <is>
          <t>CHANNEL</t>
        </is>
      </c>
      <c r="D444" s="12" t="inlineStr">
        <is>
          <t>Distributor Channel</t>
        </is>
      </c>
      <c r="E444" s="12" t="inlineStr">
        <is>
          <t>OPEX</t>
        </is>
      </c>
      <c r="F444" s="12" t="inlineStr">
        <is>
          <t>Operating Expenses</t>
        </is>
      </c>
      <c r="G444" s="12" t="inlineStr">
        <is>
          <t>SALARY</t>
        </is>
      </c>
      <c r="H444" s="12" t="inlineStr">
        <is>
          <t>Payroll</t>
        </is>
      </c>
      <c r="I444" s="13" t="n">
        <v>63345</v>
      </c>
    </row>
    <row r="445">
      <c r="A445" s="12" t="n">
        <v>12</v>
      </c>
      <c r="B445" s="12" t="inlineStr">
        <is>
          <t>Dec</t>
        </is>
      </c>
      <c r="C445" s="12" t="inlineStr">
        <is>
          <t>SERVICE</t>
        </is>
      </c>
      <c r="D445" s="12" t="inlineStr">
        <is>
          <t>Service and Support</t>
        </is>
      </c>
      <c r="E445" s="12" t="inlineStr">
        <is>
          <t>OPEX</t>
        </is>
      </c>
      <c r="F445" s="12" t="inlineStr">
        <is>
          <t>Operating Expenses</t>
        </is>
      </c>
      <c r="G445" s="12" t="inlineStr">
        <is>
          <t>SALARY</t>
        </is>
      </c>
      <c r="H445" s="12" t="inlineStr">
        <is>
          <t>Payroll</t>
        </is>
      </c>
      <c r="I445" s="13" t="n">
        <v>31672</v>
      </c>
    </row>
    <row r="446">
      <c r="A446" s="12" t="n">
        <v>12</v>
      </c>
      <c r="B446" s="12" t="inlineStr">
        <is>
          <t>Dec</t>
        </is>
      </c>
      <c r="C446" s="12" t="inlineStr">
        <is>
          <t>SALES</t>
        </is>
      </c>
      <c r="D446" s="12" t="inlineStr">
        <is>
          <t>Direct Sales</t>
        </is>
      </c>
      <c r="E446" s="12" t="inlineStr">
        <is>
          <t>OPEX</t>
        </is>
      </c>
      <c r="F446" s="12" t="inlineStr">
        <is>
          <t>Operating Expenses</t>
        </is>
      </c>
      <c r="G446" s="12" t="inlineStr">
        <is>
          <t>RENT</t>
        </is>
      </c>
      <c r="H446" s="12" t="inlineStr">
        <is>
          <t>Rent and Facilities</t>
        </is>
      </c>
      <c r="I446" s="13" t="n">
        <v>13868</v>
      </c>
    </row>
    <row r="447">
      <c r="A447" s="12" t="n">
        <v>12</v>
      </c>
      <c r="B447" s="12" t="inlineStr">
        <is>
          <t>Dec</t>
        </is>
      </c>
      <c r="C447" s="12" t="inlineStr">
        <is>
          <t>CHANNEL</t>
        </is>
      </c>
      <c r="D447" s="12" t="inlineStr">
        <is>
          <t>Distributor Channel</t>
        </is>
      </c>
      <c r="E447" s="12" t="inlineStr">
        <is>
          <t>OPEX</t>
        </is>
      </c>
      <c r="F447" s="12" t="inlineStr">
        <is>
          <t>Operating Expenses</t>
        </is>
      </c>
      <c r="G447" s="12" t="inlineStr">
        <is>
          <t>RENT</t>
        </is>
      </c>
      <c r="H447" s="12" t="inlineStr">
        <is>
          <t>Rent and Facilities</t>
        </is>
      </c>
      <c r="I447" s="13" t="n">
        <v>13460</v>
      </c>
    </row>
    <row r="448">
      <c r="A448" s="12" t="n">
        <v>12</v>
      </c>
      <c r="B448" s="12" t="inlineStr">
        <is>
          <t>Dec</t>
        </is>
      </c>
      <c r="C448" s="12" t="inlineStr">
        <is>
          <t>SERVICE</t>
        </is>
      </c>
      <c r="D448" s="12" t="inlineStr">
        <is>
          <t>Service and Support</t>
        </is>
      </c>
      <c r="E448" s="12" t="inlineStr">
        <is>
          <t>OPEX</t>
        </is>
      </c>
      <c r="F448" s="12" t="inlineStr">
        <is>
          <t>Operating Expenses</t>
        </is>
      </c>
      <c r="G448" s="12" t="inlineStr">
        <is>
          <t>RENT</t>
        </is>
      </c>
      <c r="H448" s="12" t="inlineStr">
        <is>
          <t>Rent and Facilities</t>
        </is>
      </c>
      <c r="I448" s="13" t="n">
        <v>13460</v>
      </c>
    </row>
    <row r="449">
      <c r="A449" s="12" t="n">
        <v>12</v>
      </c>
      <c r="B449" s="12" t="inlineStr">
        <is>
          <t>Dec</t>
        </is>
      </c>
      <c r="C449" s="12" t="inlineStr">
        <is>
          <t>SALES</t>
        </is>
      </c>
      <c r="D449" s="12" t="inlineStr">
        <is>
          <t>Direct Sales</t>
        </is>
      </c>
      <c r="E449" s="12" t="inlineStr">
        <is>
          <t>OPEX</t>
        </is>
      </c>
      <c r="F449" s="12" t="inlineStr">
        <is>
          <t>Operating Expenses</t>
        </is>
      </c>
      <c r="G449" s="12" t="inlineStr">
        <is>
          <t>VEHICLE</t>
        </is>
      </c>
      <c r="H449" s="12" t="inlineStr">
        <is>
          <t>Vehicle</t>
        </is>
      </c>
      <c r="I449" s="13" t="n">
        <v>12123</v>
      </c>
    </row>
    <row r="450">
      <c r="A450" s="12" t="n">
        <v>12</v>
      </c>
      <c r="B450" s="12" t="inlineStr">
        <is>
          <t>Dec</t>
        </is>
      </c>
      <c r="C450" s="12" t="inlineStr">
        <is>
          <t>CHANNEL</t>
        </is>
      </c>
      <c r="D450" s="12" t="inlineStr">
        <is>
          <t>Distributor Channel</t>
        </is>
      </c>
      <c r="E450" s="12" t="inlineStr">
        <is>
          <t>OPEX</t>
        </is>
      </c>
      <c r="F450" s="12" t="inlineStr">
        <is>
          <t>Operating Expenses</t>
        </is>
      </c>
      <c r="G450" s="12" t="inlineStr">
        <is>
          <t>VEHICLE</t>
        </is>
      </c>
      <c r="H450" s="12" t="inlineStr">
        <is>
          <t>Vehicle</t>
        </is>
      </c>
      <c r="I450" s="13" t="n">
        <v>6613</v>
      </c>
    </row>
    <row r="451">
      <c r="A451" s="12" t="n">
        <v>12</v>
      </c>
      <c r="B451" s="12" t="inlineStr">
        <is>
          <t>Dec</t>
        </is>
      </c>
      <c r="C451" s="12" t="inlineStr">
        <is>
          <t>SERVICE</t>
        </is>
      </c>
      <c r="D451" s="12" t="inlineStr">
        <is>
          <t>Service and Support</t>
        </is>
      </c>
      <c r="E451" s="12" t="inlineStr">
        <is>
          <t>OPEX</t>
        </is>
      </c>
      <c r="F451" s="12" t="inlineStr">
        <is>
          <t>Operating Expenses</t>
        </is>
      </c>
      <c r="G451" s="12" t="inlineStr">
        <is>
          <t>VEHICLE</t>
        </is>
      </c>
      <c r="H451" s="12" t="inlineStr">
        <is>
          <t>Vehicle</t>
        </is>
      </c>
      <c r="I451" s="13" t="n">
        <v>3306</v>
      </c>
    </row>
    <row r="452">
      <c r="A452" s="12" t="n">
        <v>12</v>
      </c>
      <c r="B452" s="12" t="inlineStr">
        <is>
          <t>Dec</t>
        </is>
      </c>
      <c r="C452" s="12" t="inlineStr">
        <is>
          <t>SALES</t>
        </is>
      </c>
      <c r="D452" s="12" t="inlineStr">
        <is>
          <t>Direct Sales</t>
        </is>
      </c>
      <c r="E452" s="12" t="inlineStr">
        <is>
          <t>OPEX</t>
        </is>
      </c>
      <c r="F452" s="12" t="inlineStr">
        <is>
          <t>Operating Expenses</t>
        </is>
      </c>
      <c r="G452" s="12" t="inlineStr">
        <is>
          <t>MARKETING</t>
        </is>
      </c>
      <c r="H452" s="12" t="inlineStr">
        <is>
          <t>Marketing</t>
        </is>
      </c>
      <c r="I452" s="13" t="n">
        <v>18694</v>
      </c>
    </row>
    <row r="453">
      <c r="A453" s="12" t="n">
        <v>12</v>
      </c>
      <c r="B453" s="12" t="inlineStr">
        <is>
          <t>Dec</t>
        </is>
      </c>
      <c r="C453" s="12" t="inlineStr">
        <is>
          <t>CHANNEL</t>
        </is>
      </c>
      <c r="D453" s="12" t="inlineStr">
        <is>
          <t>Distributor Channel</t>
        </is>
      </c>
      <c r="E453" s="12" t="inlineStr">
        <is>
          <t>OPEX</t>
        </is>
      </c>
      <c r="F453" s="12" t="inlineStr">
        <is>
          <t>Operating Expenses</t>
        </is>
      </c>
      <c r="G453" s="12" t="inlineStr">
        <is>
          <t>MARKETING</t>
        </is>
      </c>
      <c r="H453" s="12" t="inlineStr">
        <is>
          <t>Marketing</t>
        </is>
      </c>
      <c r="I453" s="13" t="n">
        <v>10197</v>
      </c>
    </row>
    <row r="454">
      <c r="A454" s="12" t="n">
        <v>12</v>
      </c>
      <c r="B454" s="12" t="inlineStr">
        <is>
          <t>Dec</t>
        </is>
      </c>
      <c r="C454" s="12" t="inlineStr">
        <is>
          <t>SERVICE</t>
        </is>
      </c>
      <c r="D454" s="12" t="inlineStr">
        <is>
          <t>Service and Support</t>
        </is>
      </c>
      <c r="E454" s="12" t="inlineStr">
        <is>
          <t>OPEX</t>
        </is>
      </c>
      <c r="F454" s="12" t="inlineStr">
        <is>
          <t>Operating Expenses</t>
        </is>
      </c>
      <c r="G454" s="12" t="inlineStr">
        <is>
          <t>MARKETING</t>
        </is>
      </c>
      <c r="H454" s="12" t="inlineStr">
        <is>
          <t>Marketing</t>
        </is>
      </c>
      <c r="I454" s="13" t="n">
        <v>5098</v>
      </c>
    </row>
    <row r="455">
      <c r="A455" s="12" t="n">
        <v>12</v>
      </c>
      <c r="B455" s="12" t="inlineStr">
        <is>
          <t>Dec</t>
        </is>
      </c>
      <c r="C455" s="12" t="inlineStr">
        <is>
          <t>SALES</t>
        </is>
      </c>
      <c r="D455" s="12" t="inlineStr">
        <is>
          <t>Direct Sales</t>
        </is>
      </c>
      <c r="E455" s="12" t="inlineStr">
        <is>
          <t>OPEX</t>
        </is>
      </c>
      <c r="F455" s="12" t="inlineStr">
        <is>
          <t>Operating Expenses</t>
        </is>
      </c>
      <c r="G455" s="12" t="inlineStr">
        <is>
          <t>ENTERTAIN</t>
        </is>
      </c>
      <c r="H455" s="12" t="inlineStr">
        <is>
          <t>Entertainment</t>
        </is>
      </c>
      <c r="I455" s="13" t="n">
        <v>2719</v>
      </c>
    </row>
    <row r="456">
      <c r="A456" s="12" t="n">
        <v>12</v>
      </c>
      <c r="B456" s="12" t="inlineStr">
        <is>
          <t>Dec</t>
        </is>
      </c>
      <c r="C456" s="12" t="inlineStr">
        <is>
          <t>CHANNEL</t>
        </is>
      </c>
      <c r="D456" s="12" t="inlineStr">
        <is>
          <t>Distributor Channel</t>
        </is>
      </c>
      <c r="E456" s="12" t="inlineStr">
        <is>
          <t>OPEX</t>
        </is>
      </c>
      <c r="F456" s="12" t="inlineStr">
        <is>
          <t>Operating Expenses</t>
        </is>
      </c>
      <c r="G456" s="12" t="inlineStr">
        <is>
          <t>ENTERTAIN</t>
        </is>
      </c>
      <c r="H456" s="12" t="inlineStr">
        <is>
          <t>Entertainment</t>
        </is>
      </c>
      <c r="I456" s="13" t="n">
        <v>1483</v>
      </c>
    </row>
    <row r="457">
      <c r="A457" s="12" t="n">
        <v>12</v>
      </c>
      <c r="B457" s="12" t="inlineStr">
        <is>
          <t>Dec</t>
        </is>
      </c>
      <c r="C457" s="12" t="inlineStr">
        <is>
          <t>SERVICE</t>
        </is>
      </c>
      <c r="D457" s="12" t="inlineStr">
        <is>
          <t>Service and Support</t>
        </is>
      </c>
      <c r="E457" s="12" t="inlineStr">
        <is>
          <t>OPEX</t>
        </is>
      </c>
      <c r="F457" s="12" t="inlineStr">
        <is>
          <t>Operating Expenses</t>
        </is>
      </c>
      <c r="G457" s="12" t="inlineStr">
        <is>
          <t>ENTERTAIN</t>
        </is>
      </c>
      <c r="H457" s="12" t="inlineStr">
        <is>
          <t>Entertainment</t>
        </is>
      </c>
      <c r="I457" s="13" t="n">
        <v>742</v>
      </c>
    </row>
    <row r="458">
      <c r="A458" s="12" t="n">
        <v>12</v>
      </c>
      <c r="B458" s="12" t="inlineStr">
        <is>
          <t>Dec</t>
        </is>
      </c>
      <c r="C458" s="12" t="inlineStr">
        <is>
          <t>SALES</t>
        </is>
      </c>
      <c r="D458" s="12" t="inlineStr">
        <is>
          <t>Direct Sales</t>
        </is>
      </c>
      <c r="E458" s="12" t="inlineStr">
        <is>
          <t>OPEX</t>
        </is>
      </c>
      <c r="F458" s="12" t="inlineStr">
        <is>
          <t>Operating Expenses</t>
        </is>
      </c>
      <c r="G458" s="12" t="inlineStr">
        <is>
          <t>OFFICE</t>
        </is>
      </c>
      <c r="H458" s="12" t="inlineStr">
        <is>
          <t>Office</t>
        </is>
      </c>
      <c r="I458" s="13" t="n">
        <v>7138</v>
      </c>
    </row>
    <row r="459">
      <c r="A459" s="12" t="n">
        <v>12</v>
      </c>
      <c r="B459" s="12" t="inlineStr">
        <is>
          <t>Dec</t>
        </is>
      </c>
      <c r="C459" s="12" t="inlineStr">
        <is>
          <t>CHANNEL</t>
        </is>
      </c>
      <c r="D459" s="12" t="inlineStr">
        <is>
          <t>Distributor Channel</t>
        </is>
      </c>
      <c r="E459" s="12" t="inlineStr">
        <is>
          <t>OPEX</t>
        </is>
      </c>
      <c r="F459" s="12" t="inlineStr">
        <is>
          <t>Operating Expenses</t>
        </is>
      </c>
      <c r="G459" s="12" t="inlineStr">
        <is>
          <t>OFFICE</t>
        </is>
      </c>
      <c r="H459" s="12" t="inlineStr">
        <is>
          <t>Office</t>
        </is>
      </c>
      <c r="I459" s="13" t="n">
        <v>3893</v>
      </c>
    </row>
    <row r="460">
      <c r="A460" s="12" t="n">
        <v>12</v>
      </c>
      <c r="B460" s="12" t="inlineStr">
        <is>
          <t>Dec</t>
        </is>
      </c>
      <c r="C460" s="12" t="inlineStr">
        <is>
          <t>SERVICE</t>
        </is>
      </c>
      <c r="D460" s="12" t="inlineStr">
        <is>
          <t>Service and Support</t>
        </is>
      </c>
      <c r="E460" s="12" t="inlineStr">
        <is>
          <t>OPEX</t>
        </is>
      </c>
      <c r="F460" s="12" t="inlineStr">
        <is>
          <t>Operating Expenses</t>
        </is>
      </c>
      <c r="G460" s="12" t="inlineStr">
        <is>
          <t>OFFICE</t>
        </is>
      </c>
      <c r="H460" s="12" t="inlineStr">
        <is>
          <t>Office</t>
        </is>
      </c>
      <c r="I460" s="13" t="n">
        <v>1947</v>
      </c>
    </row>
    <row r="461">
      <c r="A461" s="12" t="n">
        <v>12</v>
      </c>
      <c r="B461" s="12" t="inlineStr">
        <is>
          <t>Dec</t>
        </is>
      </c>
      <c r="C461" s="12" t="inlineStr">
        <is>
          <t>SALES</t>
        </is>
      </c>
      <c r="D461" s="12" t="inlineStr">
        <is>
          <t>Direct Sales</t>
        </is>
      </c>
      <c r="E461" s="12" t="inlineStr">
        <is>
          <t>OPEX</t>
        </is>
      </c>
      <c r="F461" s="12" t="inlineStr">
        <is>
          <t>Operating Expenses</t>
        </is>
      </c>
      <c r="G461" s="12" t="inlineStr">
        <is>
          <t>MERCHANT</t>
        </is>
      </c>
      <c r="H461" s="12" t="inlineStr">
        <is>
          <t>Merchant Fees</t>
        </is>
      </c>
      <c r="I461" s="13" t="n">
        <v>8611</v>
      </c>
    </row>
    <row r="462">
      <c r="A462" s="12" t="n">
        <v>12</v>
      </c>
      <c r="B462" s="12" t="inlineStr">
        <is>
          <t>Dec</t>
        </is>
      </c>
      <c r="C462" s="12" t="inlineStr">
        <is>
          <t>CHANNEL</t>
        </is>
      </c>
      <c r="D462" s="12" t="inlineStr">
        <is>
          <t>Distributor Channel</t>
        </is>
      </c>
      <c r="E462" s="12" t="inlineStr">
        <is>
          <t>OPEX</t>
        </is>
      </c>
      <c r="F462" s="12" t="inlineStr">
        <is>
          <t>Operating Expenses</t>
        </is>
      </c>
      <c r="G462" s="12" t="inlineStr">
        <is>
          <t>MERCHANT</t>
        </is>
      </c>
      <c r="H462" s="12" t="inlineStr">
        <is>
          <t>Merchant Fees</t>
        </is>
      </c>
      <c r="I462" s="13" t="n">
        <v>4697</v>
      </c>
    </row>
    <row r="463">
      <c r="A463" s="12" t="n">
        <v>12</v>
      </c>
      <c r="B463" s="12" t="inlineStr">
        <is>
          <t>Dec</t>
        </is>
      </c>
      <c r="C463" s="12" t="inlineStr">
        <is>
          <t>SERVICE</t>
        </is>
      </c>
      <c r="D463" s="12" t="inlineStr">
        <is>
          <t>Service and Support</t>
        </is>
      </c>
      <c r="E463" s="12" t="inlineStr">
        <is>
          <t>OPEX</t>
        </is>
      </c>
      <c r="F463" s="12" t="inlineStr">
        <is>
          <t>Operating Expenses</t>
        </is>
      </c>
      <c r="G463" s="12" t="inlineStr">
        <is>
          <t>MERCHANT</t>
        </is>
      </c>
      <c r="H463" s="12" t="inlineStr">
        <is>
          <t>Merchant Fees</t>
        </is>
      </c>
      <c r="I463" s="13" t="n">
        <v>2348</v>
      </c>
    </row>
    <row r="464">
      <c r="A464" s="12" t="n">
        <v>12</v>
      </c>
      <c r="B464" s="12" t="inlineStr">
        <is>
          <t>Dec</t>
        </is>
      </c>
      <c r="C464" s="12" t="inlineStr">
        <is>
          <t>SALES</t>
        </is>
      </c>
      <c r="D464" s="12" t="inlineStr">
        <is>
          <t>Direct Sales</t>
        </is>
      </c>
      <c r="E464" s="12" t="inlineStr">
        <is>
          <t>OPEX</t>
        </is>
      </c>
      <c r="F464" s="12" t="inlineStr">
        <is>
          <t>Operating Expenses</t>
        </is>
      </c>
      <c r="G464" s="12" t="inlineStr">
        <is>
          <t>PROFSVC</t>
        </is>
      </c>
      <c r="H464" s="12" t="inlineStr">
        <is>
          <t>Professional Fees</t>
        </is>
      </c>
      <c r="I464" s="13" t="n">
        <v>6685</v>
      </c>
    </row>
    <row r="465">
      <c r="A465" s="12" t="n">
        <v>12</v>
      </c>
      <c r="B465" s="12" t="inlineStr">
        <is>
          <t>Dec</t>
        </is>
      </c>
      <c r="C465" s="12" t="inlineStr">
        <is>
          <t>CHANNEL</t>
        </is>
      </c>
      <c r="D465" s="12" t="inlineStr">
        <is>
          <t>Distributor Channel</t>
        </is>
      </c>
      <c r="E465" s="12" t="inlineStr">
        <is>
          <t>OPEX</t>
        </is>
      </c>
      <c r="F465" s="12" t="inlineStr">
        <is>
          <t>Operating Expenses</t>
        </is>
      </c>
      <c r="G465" s="12" t="inlineStr">
        <is>
          <t>PROFSVC</t>
        </is>
      </c>
      <c r="H465" s="12" t="inlineStr">
        <is>
          <t>Professional Fees</t>
        </is>
      </c>
      <c r="I465" s="13" t="n">
        <v>3646</v>
      </c>
    </row>
    <row r="466">
      <c r="A466" s="12" t="n">
        <v>12</v>
      </c>
      <c r="B466" s="12" t="inlineStr">
        <is>
          <t>Dec</t>
        </is>
      </c>
      <c r="C466" s="12" t="inlineStr">
        <is>
          <t>SERVICE</t>
        </is>
      </c>
      <c r="D466" s="12" t="inlineStr">
        <is>
          <t>Service and Support</t>
        </is>
      </c>
      <c r="E466" s="12" t="inlineStr">
        <is>
          <t>OPEX</t>
        </is>
      </c>
      <c r="F466" s="12" t="inlineStr">
        <is>
          <t>Operating Expenses</t>
        </is>
      </c>
      <c r="G466" s="12" t="inlineStr">
        <is>
          <t>PROFSVC</t>
        </is>
      </c>
      <c r="H466" s="12" t="inlineStr">
        <is>
          <t>Professional Fees</t>
        </is>
      </c>
      <c r="I466" s="13" t="n">
        <v>1823</v>
      </c>
    </row>
    <row r="467">
      <c r="A467" s="12" t="n">
        <v>12</v>
      </c>
      <c r="B467" s="12" t="inlineStr">
        <is>
          <t>Dec</t>
        </is>
      </c>
      <c r="C467" s="12" t="inlineStr">
        <is>
          <t>SALES</t>
        </is>
      </c>
      <c r="D467" s="12" t="inlineStr">
        <is>
          <t>Direct Sales</t>
        </is>
      </c>
      <c r="E467" s="12" t="inlineStr">
        <is>
          <t>OPEX</t>
        </is>
      </c>
      <c r="F467" s="12" t="inlineStr">
        <is>
          <t>Operating Expenses</t>
        </is>
      </c>
      <c r="G467" s="12" t="inlineStr">
        <is>
          <t>DEPREC</t>
        </is>
      </c>
      <c r="H467" s="12" t="inlineStr">
        <is>
          <t>Depreciation</t>
        </is>
      </c>
      <c r="I467" s="13" t="n">
        <v>6304</v>
      </c>
    </row>
    <row r="468">
      <c r="A468" s="12" t="n">
        <v>12</v>
      </c>
      <c r="B468" s="12" t="inlineStr">
        <is>
          <t>Dec</t>
        </is>
      </c>
      <c r="C468" s="12" t="inlineStr">
        <is>
          <t>CHANNEL</t>
        </is>
      </c>
      <c r="D468" s="12" t="inlineStr">
        <is>
          <t>Distributor Channel</t>
        </is>
      </c>
      <c r="E468" s="12" t="inlineStr">
        <is>
          <t>OPEX</t>
        </is>
      </c>
      <c r="F468" s="12" t="inlineStr">
        <is>
          <t>Operating Expenses</t>
        </is>
      </c>
      <c r="G468" s="12" t="inlineStr">
        <is>
          <t>DEPREC</t>
        </is>
      </c>
      <c r="H468" s="12" t="inlineStr">
        <is>
          <t>Depreciation</t>
        </is>
      </c>
      <c r="I468" s="13" t="n">
        <v>6118</v>
      </c>
    </row>
    <row r="469">
      <c r="A469" s="12" t="n">
        <v>12</v>
      </c>
      <c r="B469" s="12" t="inlineStr">
        <is>
          <t>Dec</t>
        </is>
      </c>
      <c r="C469" s="12" t="inlineStr">
        <is>
          <t>SERVICE</t>
        </is>
      </c>
      <c r="D469" s="12" t="inlineStr">
        <is>
          <t>Service and Support</t>
        </is>
      </c>
      <c r="E469" s="12" t="inlineStr">
        <is>
          <t>OPEX</t>
        </is>
      </c>
      <c r="F469" s="12" t="inlineStr">
        <is>
          <t>Operating Expenses</t>
        </is>
      </c>
      <c r="G469" s="12" t="inlineStr">
        <is>
          <t>DEPREC</t>
        </is>
      </c>
      <c r="H469" s="12" t="inlineStr">
        <is>
          <t>Depreciation</t>
        </is>
      </c>
      <c r="I469" s="13" t="n">
        <v>6118</v>
      </c>
    </row>
    <row r="470">
      <c r="A470" s="12" t="n">
        <v>12</v>
      </c>
      <c r="B470" s="12" t="inlineStr">
        <is>
          <t>Dec</t>
        </is>
      </c>
      <c r="C470" s="12" t="inlineStr">
        <is>
          <t>SALES</t>
        </is>
      </c>
      <c r="D470" s="12" t="inlineStr">
        <is>
          <t>Direct Sales</t>
        </is>
      </c>
      <c r="E470" s="12" t="inlineStr">
        <is>
          <t>OPEX</t>
        </is>
      </c>
      <c r="F470" s="12" t="inlineStr">
        <is>
          <t>Operating Expenses</t>
        </is>
      </c>
      <c r="G470" s="12" t="inlineStr">
        <is>
          <t>FINANCE</t>
        </is>
      </c>
      <c r="H470" s="12" t="inlineStr">
        <is>
          <t>Finance Costs</t>
        </is>
      </c>
      <c r="I470" s="13" t="n">
        <v>3362</v>
      </c>
    </row>
    <row r="471">
      <c r="A471" s="12" t="n">
        <v>12</v>
      </c>
      <c r="B471" s="12" t="inlineStr">
        <is>
          <t>Dec</t>
        </is>
      </c>
      <c r="C471" s="12" t="inlineStr">
        <is>
          <t>CHANNEL</t>
        </is>
      </c>
      <c r="D471" s="12" t="inlineStr">
        <is>
          <t>Distributor Channel</t>
        </is>
      </c>
      <c r="E471" s="12" t="inlineStr">
        <is>
          <t>OPEX</t>
        </is>
      </c>
      <c r="F471" s="12" t="inlineStr">
        <is>
          <t>Operating Expenses</t>
        </is>
      </c>
      <c r="G471" s="12" t="inlineStr">
        <is>
          <t>FINANCE</t>
        </is>
      </c>
      <c r="H471" s="12" t="inlineStr">
        <is>
          <t>Finance Costs</t>
        </is>
      </c>
      <c r="I471" s="13" t="n">
        <v>3263</v>
      </c>
    </row>
    <row r="472">
      <c r="A472" s="12" t="n">
        <v>12</v>
      </c>
      <c r="B472" s="12" t="inlineStr">
        <is>
          <t>Dec</t>
        </is>
      </c>
      <c r="C472" s="12" t="inlineStr">
        <is>
          <t>SERVICE</t>
        </is>
      </c>
      <c r="D472" s="12" t="inlineStr">
        <is>
          <t>Service and Support</t>
        </is>
      </c>
      <c r="E472" s="12" t="inlineStr">
        <is>
          <t>OPEX</t>
        </is>
      </c>
      <c r="F472" s="12" t="inlineStr">
        <is>
          <t>Operating Expenses</t>
        </is>
      </c>
      <c r="G472" s="12" t="inlineStr">
        <is>
          <t>FINANCE</t>
        </is>
      </c>
      <c r="H472" s="12" t="inlineStr">
        <is>
          <t>Finance Costs</t>
        </is>
      </c>
      <c r="I472" s="13" t="n">
        <v>3263</v>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40"/>
  <sheetViews>
    <sheetView rightToLeft="1" workbookViewId="0">
      <selection activeCell="A1" sqref="A1"/>
    </sheetView>
  </sheetViews>
  <sheetFormatPr baseColWidth="8" defaultRowHeight="15"/>
  <cols>
    <col width="16" customWidth="1" min="1" max="1"/>
    <col width="19" customWidth="1" min="2" max="2"/>
    <col width="11" customWidth="1" min="3" max="3"/>
    <col width="15" customWidth="1" min="4" max="4"/>
    <col width="15" customWidth="1" min="5" max="5"/>
    <col width="15" customWidth="1" min="6" max="6"/>
    <col width="10" customWidth="1" min="7" max="7"/>
    <col width="11" customWidth="1" min="8" max="8"/>
    <col width="14" customWidth="1" min="9" max="9"/>
  </cols>
  <sheetData>
    <row r="1" ht="32" customHeight="1">
      <c r="A1" s="1" t="inlineStr">
        <is>
          <t>Lab 2 · לוח בקרת ביצוע מול תקציב</t>
        </is>
      </c>
    </row>
    <row r="2" ht="18" customHeight="1">
      <c r="A2" s="2" t="inlineStr">
        <is>
          <t>SUMIFS הוא מנוע הבקרה. בחרו מחלקה ותקופה למעלה, והלוח כולו מתעדכן.</t>
        </is>
      </c>
    </row>
    <row r="3">
      <c r="A3" s="3" t="inlineStr">
        <is>
          <t>Dept (מחלקה):</t>
        </is>
      </c>
      <c r="B3" s="20" t="inlineStr">
        <is>
          <t>ALL</t>
        </is>
      </c>
    </row>
    <row r="4">
      <c r="A4" s="3" t="inlineStr">
        <is>
          <t>FromMonth (מחודש):</t>
        </is>
      </c>
      <c r="B4" s="20" t="n">
        <v>1</v>
      </c>
    </row>
    <row r="5">
      <c r="A5" s="3" t="inlineStr">
        <is>
          <t>ToMonth (עד חודש):</t>
        </is>
      </c>
      <c r="B5" s="20" t="n">
        <v>6</v>
      </c>
    </row>
    <row r="7" ht="28" customHeight="1">
      <c r="A7" s="9" t="inlineStr">
        <is>
          <t>Acct</t>
        </is>
      </c>
      <c r="B7" s="9" t="inlineStr">
        <is>
          <t>AcctName</t>
        </is>
      </c>
      <c r="C7" s="9" t="inlineStr">
        <is>
          <t>Grp</t>
        </is>
      </c>
      <c r="D7" s="9" t="inlineStr">
        <is>
          <t>Budget</t>
        </is>
      </c>
      <c r="E7" s="9" t="inlineStr">
        <is>
          <t>Actual</t>
        </is>
      </c>
      <c r="F7" s="9" t="inlineStr">
        <is>
          <t>Var</t>
        </is>
      </c>
      <c r="G7" s="9" t="inlineStr">
        <is>
          <t>VarPct</t>
        </is>
      </c>
      <c r="H7" s="9" t="inlineStr">
        <is>
          <t>Flag</t>
        </is>
      </c>
      <c r="I7" s="9" t="inlineStr">
        <is>
          <t>PctOfRevenue</t>
        </is>
      </c>
    </row>
    <row r="8">
      <c r="A8" s="6" t="inlineStr">
        <is>
          <t>REVENUE_PROD</t>
        </is>
      </c>
      <c r="B8" s="6" t="inlineStr">
        <is>
          <t>Product Revenue</t>
        </is>
      </c>
      <c r="C8" s="6" t="inlineStr">
        <is>
          <t>REVENUE</t>
        </is>
      </c>
      <c r="D8" s="17">
        <f>SUMIFS(BUDGET[Budget],BUDGET[Acct],$A8,BUDGET[Month],"&gt;="&amp;$B$4,BUDGET[Month],"&lt;="&amp;$B$5,BUDGET[Dept],IF($B$3="ALL","*",$B$3))</f>
        <v/>
      </c>
      <c r="E8" s="17">
        <f>SUMIFS(GL[Amount],GL[Acct],$A8,GL[Month],"&gt;="&amp;$B$4,GL[Month],"&lt;="&amp;$B$5,GL[Dept],IF($B$3="ALL","*",$B$3))</f>
        <v/>
      </c>
      <c r="F8" s="17">
        <f>E8-D8</f>
        <v/>
      </c>
      <c r="G8" s="42">
        <f>IFERROR(F8/D8,0)</f>
        <v/>
      </c>
      <c r="H8" s="18">
        <f>IF(ABS(G8)&gt;10%,IF($C8="REVENUE",IF(G8&lt;0,"MISS","BEAT"),IF(G8&gt;0,"OVER","SAVE")),"")</f>
        <v/>
      </c>
      <c r="I8" s="42">
        <f>IFERROR(E8/SUMIFS(GL[Amount],GL[Grp],"REVENUE",GL[Month],"&gt;="&amp;$B$4,GL[Month],"&lt;="&amp;$B$5,GL[Dept],IF($B$3="ALL","*",$B$3)),0)</f>
        <v/>
      </c>
    </row>
    <row r="9">
      <c r="A9" s="6" t="inlineStr">
        <is>
          <t>REVENUE_SVC</t>
        </is>
      </c>
      <c r="B9" s="6" t="inlineStr">
        <is>
          <t>Service Revenue</t>
        </is>
      </c>
      <c r="C9" s="6" t="inlineStr">
        <is>
          <t>REVENUE</t>
        </is>
      </c>
      <c r="D9" s="17">
        <f>SUMIFS(BUDGET[Budget],BUDGET[Acct],$A9,BUDGET[Month],"&gt;="&amp;$B$4,BUDGET[Month],"&lt;="&amp;$B$5,BUDGET[Dept],IF($B$3="ALL","*",$B$3))</f>
        <v/>
      </c>
      <c r="E9" s="17">
        <f>SUMIFS(GL[Amount],GL[Acct],$A9,GL[Month],"&gt;="&amp;$B$4,GL[Month],"&lt;="&amp;$B$5,GL[Dept],IF($B$3="ALL","*",$B$3))</f>
        <v/>
      </c>
      <c r="F9" s="17">
        <f>E9-D9</f>
        <v/>
      </c>
      <c r="G9" s="42">
        <f>IFERROR(F9/D9,0)</f>
        <v/>
      </c>
      <c r="H9" s="18">
        <f>IF(ABS(G9)&gt;10%,IF($C9="REVENUE",IF(G9&lt;0,"MISS","BEAT"),IF(G9&gt;0,"OVER","SAVE")),"")</f>
        <v/>
      </c>
      <c r="I9" s="42">
        <f>IFERROR(E9/SUMIFS(GL[Amount],GL[Grp],"REVENUE",GL[Month],"&gt;="&amp;$B$4,GL[Month],"&lt;="&amp;$B$5,GL[Dept],IF($B$3="ALL","*",$B$3)),0)</f>
        <v/>
      </c>
    </row>
    <row r="10">
      <c r="A10" s="6" t="inlineStr">
        <is>
          <t>COGS</t>
        </is>
      </c>
      <c r="B10" s="6" t="inlineStr">
        <is>
          <t>Cost of Goods Sold</t>
        </is>
      </c>
      <c r="C10" s="6" t="inlineStr">
        <is>
          <t>COGS</t>
        </is>
      </c>
      <c r="D10" s="17">
        <f>SUMIFS(BUDGET[Budget],BUDGET[Acct],$A10,BUDGET[Month],"&gt;="&amp;$B$4,BUDGET[Month],"&lt;="&amp;$B$5,BUDGET[Dept],IF($B$3="ALL","*",$B$3))</f>
        <v/>
      </c>
      <c r="E10" s="17">
        <f>SUMIFS(GL[Amount],GL[Acct],$A10,GL[Month],"&gt;="&amp;$B$4,GL[Month],"&lt;="&amp;$B$5,GL[Dept],IF($B$3="ALL","*",$B$3))</f>
        <v/>
      </c>
      <c r="F10" s="17">
        <f>E10-D10</f>
        <v/>
      </c>
      <c r="G10" s="42">
        <f>IFERROR(F10/D10,0)</f>
        <v/>
      </c>
      <c r="H10" s="18">
        <f>IF(ABS(G10)&gt;10%,IF($C10="REVENUE",IF(G10&lt;0,"MISS","BEAT"),IF(G10&gt;0,"OVER","SAVE")),"")</f>
        <v/>
      </c>
      <c r="I10" s="42">
        <f>IFERROR(E10/SUMIFS(GL[Amount],GL[Grp],"REVENUE",GL[Month],"&gt;="&amp;$B$4,GL[Month],"&lt;="&amp;$B$5,GL[Dept],IF($B$3="ALL","*",$B$3)),0)</f>
        <v/>
      </c>
    </row>
    <row r="11">
      <c r="A11" s="6" t="inlineStr">
        <is>
          <t>SALARY</t>
        </is>
      </c>
      <c r="B11" s="6" t="inlineStr">
        <is>
          <t>Payroll</t>
        </is>
      </c>
      <c r="C11" s="6" t="inlineStr">
        <is>
          <t>OPEX</t>
        </is>
      </c>
      <c r="D11" s="17">
        <f>SUMIFS(BUDGET[Budget],BUDGET[Acct],$A11,BUDGET[Month],"&gt;="&amp;$B$4,BUDGET[Month],"&lt;="&amp;$B$5,BUDGET[Dept],IF($B$3="ALL","*",$B$3))</f>
        <v/>
      </c>
      <c r="E11" s="17">
        <f>SUMIFS(GL[Amount],GL[Acct],$A11,GL[Month],"&gt;="&amp;$B$4,GL[Month],"&lt;="&amp;$B$5,GL[Dept],IF($B$3="ALL","*",$B$3))</f>
        <v/>
      </c>
      <c r="F11" s="17">
        <f>E11-D11</f>
        <v/>
      </c>
      <c r="G11" s="42">
        <f>IFERROR(F11/D11,0)</f>
        <v/>
      </c>
      <c r="H11" s="18">
        <f>IF(ABS(G11)&gt;10%,IF($C11="REVENUE",IF(G11&lt;0,"MISS","BEAT"),IF(G11&gt;0,"OVER","SAVE")),"")</f>
        <v/>
      </c>
      <c r="I11" s="42">
        <f>IFERROR(E11/SUMIFS(GL[Amount],GL[Grp],"REVENUE",GL[Month],"&gt;="&amp;$B$4,GL[Month],"&lt;="&amp;$B$5,GL[Dept],IF($B$3="ALL","*",$B$3)),0)</f>
        <v/>
      </c>
    </row>
    <row r="12">
      <c r="A12" s="6" t="inlineStr">
        <is>
          <t>RENT</t>
        </is>
      </c>
      <c r="B12" s="6" t="inlineStr">
        <is>
          <t>Rent and Facilities</t>
        </is>
      </c>
      <c r="C12" s="6" t="inlineStr">
        <is>
          <t>OPEX</t>
        </is>
      </c>
      <c r="D12" s="17">
        <f>SUMIFS(BUDGET[Budget],BUDGET[Acct],$A12,BUDGET[Month],"&gt;="&amp;$B$4,BUDGET[Month],"&lt;="&amp;$B$5,BUDGET[Dept],IF($B$3="ALL","*",$B$3))</f>
        <v/>
      </c>
      <c r="E12" s="17">
        <f>SUMIFS(GL[Amount],GL[Acct],$A12,GL[Month],"&gt;="&amp;$B$4,GL[Month],"&lt;="&amp;$B$5,GL[Dept],IF($B$3="ALL","*",$B$3))</f>
        <v/>
      </c>
      <c r="F12" s="17">
        <f>E12-D12</f>
        <v/>
      </c>
      <c r="G12" s="42">
        <f>IFERROR(F12/D12,0)</f>
        <v/>
      </c>
      <c r="H12" s="18">
        <f>IF(ABS(G12)&gt;10%,IF($C12="REVENUE",IF(G12&lt;0,"MISS","BEAT"),IF(G12&gt;0,"OVER","SAVE")),"")</f>
        <v/>
      </c>
      <c r="I12" s="42">
        <f>IFERROR(E12/SUMIFS(GL[Amount],GL[Grp],"REVENUE",GL[Month],"&gt;="&amp;$B$4,GL[Month],"&lt;="&amp;$B$5,GL[Dept],IF($B$3="ALL","*",$B$3)),0)</f>
        <v/>
      </c>
    </row>
    <row r="13">
      <c r="A13" s="6" t="inlineStr">
        <is>
          <t>VEHICLE</t>
        </is>
      </c>
      <c r="B13" s="6" t="inlineStr">
        <is>
          <t>Vehicle</t>
        </is>
      </c>
      <c r="C13" s="6" t="inlineStr">
        <is>
          <t>OPEX</t>
        </is>
      </c>
      <c r="D13" s="17">
        <f>SUMIFS(BUDGET[Budget],BUDGET[Acct],$A13,BUDGET[Month],"&gt;="&amp;$B$4,BUDGET[Month],"&lt;="&amp;$B$5,BUDGET[Dept],IF($B$3="ALL","*",$B$3))</f>
        <v/>
      </c>
      <c r="E13" s="17">
        <f>SUMIFS(GL[Amount],GL[Acct],$A13,GL[Month],"&gt;="&amp;$B$4,GL[Month],"&lt;="&amp;$B$5,GL[Dept],IF($B$3="ALL","*",$B$3))</f>
        <v/>
      </c>
      <c r="F13" s="17">
        <f>E13-D13</f>
        <v/>
      </c>
      <c r="G13" s="42">
        <f>IFERROR(F13/D13,0)</f>
        <v/>
      </c>
      <c r="H13" s="18">
        <f>IF(ABS(G13)&gt;10%,IF($C13="REVENUE",IF(G13&lt;0,"MISS","BEAT"),IF(G13&gt;0,"OVER","SAVE")),"")</f>
        <v/>
      </c>
      <c r="I13" s="42">
        <f>IFERROR(E13/SUMIFS(GL[Amount],GL[Grp],"REVENUE",GL[Month],"&gt;="&amp;$B$4,GL[Month],"&lt;="&amp;$B$5,GL[Dept],IF($B$3="ALL","*",$B$3)),0)</f>
        <v/>
      </c>
    </row>
    <row r="14">
      <c r="A14" s="6" t="inlineStr">
        <is>
          <t>MARKETING</t>
        </is>
      </c>
      <c r="B14" s="6" t="inlineStr">
        <is>
          <t>Marketing</t>
        </is>
      </c>
      <c r="C14" s="6" t="inlineStr">
        <is>
          <t>OPEX</t>
        </is>
      </c>
      <c r="D14" s="17">
        <f>SUMIFS(BUDGET[Budget],BUDGET[Acct],$A14,BUDGET[Month],"&gt;="&amp;$B$4,BUDGET[Month],"&lt;="&amp;$B$5,BUDGET[Dept],IF($B$3="ALL","*",$B$3))</f>
        <v/>
      </c>
      <c r="E14" s="17">
        <f>SUMIFS(GL[Amount],GL[Acct],$A14,GL[Month],"&gt;="&amp;$B$4,GL[Month],"&lt;="&amp;$B$5,GL[Dept],IF($B$3="ALL","*",$B$3))</f>
        <v/>
      </c>
      <c r="F14" s="17">
        <f>E14-D14</f>
        <v/>
      </c>
      <c r="G14" s="42">
        <f>IFERROR(F14/D14,0)</f>
        <v/>
      </c>
      <c r="H14" s="18">
        <f>IF(ABS(G14)&gt;10%,IF($C14="REVENUE",IF(G14&lt;0,"MISS","BEAT"),IF(G14&gt;0,"OVER","SAVE")),"")</f>
        <v/>
      </c>
      <c r="I14" s="42">
        <f>IFERROR(E14/SUMIFS(GL[Amount],GL[Grp],"REVENUE",GL[Month],"&gt;="&amp;$B$4,GL[Month],"&lt;="&amp;$B$5,GL[Dept],IF($B$3="ALL","*",$B$3)),0)</f>
        <v/>
      </c>
    </row>
    <row r="15">
      <c r="A15" s="6" t="inlineStr">
        <is>
          <t>ENTERTAIN</t>
        </is>
      </c>
      <c r="B15" s="6" t="inlineStr">
        <is>
          <t>Entertainment</t>
        </is>
      </c>
      <c r="C15" s="6" t="inlineStr">
        <is>
          <t>OPEX</t>
        </is>
      </c>
      <c r="D15" s="17">
        <f>SUMIFS(BUDGET[Budget],BUDGET[Acct],$A15,BUDGET[Month],"&gt;="&amp;$B$4,BUDGET[Month],"&lt;="&amp;$B$5,BUDGET[Dept],IF($B$3="ALL","*",$B$3))</f>
        <v/>
      </c>
      <c r="E15" s="17">
        <f>SUMIFS(GL[Amount],GL[Acct],$A15,GL[Month],"&gt;="&amp;$B$4,GL[Month],"&lt;="&amp;$B$5,GL[Dept],IF($B$3="ALL","*",$B$3))</f>
        <v/>
      </c>
      <c r="F15" s="17">
        <f>E15-D15</f>
        <v/>
      </c>
      <c r="G15" s="42">
        <f>IFERROR(F15/D15,0)</f>
        <v/>
      </c>
      <c r="H15" s="18">
        <f>IF(ABS(G15)&gt;10%,IF($C15="REVENUE",IF(G15&lt;0,"MISS","BEAT"),IF(G15&gt;0,"OVER","SAVE")),"")</f>
        <v/>
      </c>
      <c r="I15" s="42">
        <f>IFERROR(E15/SUMIFS(GL[Amount],GL[Grp],"REVENUE",GL[Month],"&gt;="&amp;$B$4,GL[Month],"&lt;="&amp;$B$5,GL[Dept],IF($B$3="ALL","*",$B$3)),0)</f>
        <v/>
      </c>
    </row>
    <row r="16">
      <c r="A16" s="6" t="inlineStr">
        <is>
          <t>OFFICE</t>
        </is>
      </c>
      <c r="B16" s="6" t="inlineStr">
        <is>
          <t>Office</t>
        </is>
      </c>
      <c r="C16" s="6" t="inlineStr">
        <is>
          <t>OPEX</t>
        </is>
      </c>
      <c r="D16" s="17">
        <f>SUMIFS(BUDGET[Budget],BUDGET[Acct],$A16,BUDGET[Month],"&gt;="&amp;$B$4,BUDGET[Month],"&lt;="&amp;$B$5,BUDGET[Dept],IF($B$3="ALL","*",$B$3))</f>
        <v/>
      </c>
      <c r="E16" s="17">
        <f>SUMIFS(GL[Amount],GL[Acct],$A16,GL[Month],"&gt;="&amp;$B$4,GL[Month],"&lt;="&amp;$B$5,GL[Dept],IF($B$3="ALL","*",$B$3))</f>
        <v/>
      </c>
      <c r="F16" s="17">
        <f>E16-D16</f>
        <v/>
      </c>
      <c r="G16" s="42">
        <f>IFERROR(F16/D16,0)</f>
        <v/>
      </c>
      <c r="H16" s="18">
        <f>IF(ABS(G16)&gt;10%,IF($C16="REVENUE",IF(G16&lt;0,"MISS","BEAT"),IF(G16&gt;0,"OVER","SAVE")),"")</f>
        <v/>
      </c>
      <c r="I16" s="42">
        <f>IFERROR(E16/SUMIFS(GL[Amount],GL[Grp],"REVENUE",GL[Month],"&gt;="&amp;$B$4,GL[Month],"&lt;="&amp;$B$5,GL[Dept],IF($B$3="ALL","*",$B$3)),0)</f>
        <v/>
      </c>
    </row>
    <row r="17">
      <c r="A17" s="6" t="inlineStr">
        <is>
          <t>MERCHANT</t>
        </is>
      </c>
      <c r="B17" s="6" t="inlineStr">
        <is>
          <t>Merchant Fees</t>
        </is>
      </c>
      <c r="C17" s="6" t="inlineStr">
        <is>
          <t>OPEX</t>
        </is>
      </c>
      <c r="D17" s="17">
        <f>SUMIFS(BUDGET[Budget],BUDGET[Acct],$A17,BUDGET[Month],"&gt;="&amp;$B$4,BUDGET[Month],"&lt;="&amp;$B$5,BUDGET[Dept],IF($B$3="ALL","*",$B$3))</f>
        <v/>
      </c>
      <c r="E17" s="17">
        <f>SUMIFS(GL[Amount],GL[Acct],$A17,GL[Month],"&gt;="&amp;$B$4,GL[Month],"&lt;="&amp;$B$5,GL[Dept],IF($B$3="ALL","*",$B$3))</f>
        <v/>
      </c>
      <c r="F17" s="17">
        <f>E17-D17</f>
        <v/>
      </c>
      <c r="G17" s="42">
        <f>IFERROR(F17/D17,0)</f>
        <v/>
      </c>
      <c r="H17" s="18">
        <f>IF(ABS(G17)&gt;10%,IF($C17="REVENUE",IF(G17&lt;0,"MISS","BEAT"),IF(G17&gt;0,"OVER","SAVE")),"")</f>
        <v/>
      </c>
      <c r="I17" s="42">
        <f>IFERROR(E17/SUMIFS(GL[Amount],GL[Grp],"REVENUE",GL[Month],"&gt;="&amp;$B$4,GL[Month],"&lt;="&amp;$B$5,GL[Dept],IF($B$3="ALL","*",$B$3)),0)</f>
        <v/>
      </c>
    </row>
    <row r="18">
      <c r="A18" s="6" t="inlineStr">
        <is>
          <t>PROFSVC</t>
        </is>
      </c>
      <c r="B18" s="6" t="inlineStr">
        <is>
          <t>Professional Fees</t>
        </is>
      </c>
      <c r="C18" s="6" t="inlineStr">
        <is>
          <t>OPEX</t>
        </is>
      </c>
      <c r="D18" s="17">
        <f>SUMIFS(BUDGET[Budget],BUDGET[Acct],$A18,BUDGET[Month],"&gt;="&amp;$B$4,BUDGET[Month],"&lt;="&amp;$B$5,BUDGET[Dept],IF($B$3="ALL","*",$B$3))</f>
        <v/>
      </c>
      <c r="E18" s="17">
        <f>SUMIFS(GL[Amount],GL[Acct],$A18,GL[Month],"&gt;="&amp;$B$4,GL[Month],"&lt;="&amp;$B$5,GL[Dept],IF($B$3="ALL","*",$B$3))</f>
        <v/>
      </c>
      <c r="F18" s="17">
        <f>E18-D18</f>
        <v/>
      </c>
      <c r="G18" s="42">
        <f>IFERROR(F18/D18,0)</f>
        <v/>
      </c>
      <c r="H18" s="18">
        <f>IF(ABS(G18)&gt;10%,IF($C18="REVENUE",IF(G18&lt;0,"MISS","BEAT"),IF(G18&gt;0,"OVER","SAVE")),"")</f>
        <v/>
      </c>
      <c r="I18" s="42">
        <f>IFERROR(E18/SUMIFS(GL[Amount],GL[Grp],"REVENUE",GL[Month],"&gt;="&amp;$B$4,GL[Month],"&lt;="&amp;$B$5,GL[Dept],IF($B$3="ALL","*",$B$3)),0)</f>
        <v/>
      </c>
    </row>
    <row r="19">
      <c r="A19" s="6" t="inlineStr">
        <is>
          <t>DEPREC</t>
        </is>
      </c>
      <c r="B19" s="6" t="inlineStr">
        <is>
          <t>Depreciation</t>
        </is>
      </c>
      <c r="C19" s="6" t="inlineStr">
        <is>
          <t>OPEX</t>
        </is>
      </c>
      <c r="D19" s="17">
        <f>SUMIFS(BUDGET[Budget],BUDGET[Acct],$A19,BUDGET[Month],"&gt;="&amp;$B$4,BUDGET[Month],"&lt;="&amp;$B$5,BUDGET[Dept],IF($B$3="ALL","*",$B$3))</f>
        <v/>
      </c>
      <c r="E19" s="17">
        <f>SUMIFS(GL[Amount],GL[Acct],$A19,GL[Month],"&gt;="&amp;$B$4,GL[Month],"&lt;="&amp;$B$5,GL[Dept],IF($B$3="ALL","*",$B$3))</f>
        <v/>
      </c>
      <c r="F19" s="17">
        <f>E19-D19</f>
        <v/>
      </c>
      <c r="G19" s="42">
        <f>IFERROR(F19/D19,0)</f>
        <v/>
      </c>
      <c r="H19" s="18">
        <f>IF(ABS(G19)&gt;10%,IF($C19="REVENUE",IF(G19&lt;0,"MISS","BEAT"),IF(G19&gt;0,"OVER","SAVE")),"")</f>
        <v/>
      </c>
      <c r="I19" s="42">
        <f>IFERROR(E19/SUMIFS(GL[Amount],GL[Grp],"REVENUE",GL[Month],"&gt;="&amp;$B$4,GL[Month],"&lt;="&amp;$B$5,GL[Dept],IF($B$3="ALL","*",$B$3)),0)</f>
        <v/>
      </c>
    </row>
    <row r="20">
      <c r="A20" s="6" t="inlineStr">
        <is>
          <t>FINANCE</t>
        </is>
      </c>
      <c r="B20" s="6" t="inlineStr">
        <is>
          <t>Finance Costs</t>
        </is>
      </c>
      <c r="C20" s="6" t="inlineStr">
        <is>
          <t>OPEX</t>
        </is>
      </c>
      <c r="D20" s="17">
        <f>SUMIFS(BUDGET[Budget],BUDGET[Acct],$A20,BUDGET[Month],"&gt;="&amp;$B$4,BUDGET[Month],"&lt;="&amp;$B$5,BUDGET[Dept],IF($B$3="ALL","*",$B$3))</f>
        <v/>
      </c>
      <c r="E20" s="17">
        <f>SUMIFS(GL[Amount],GL[Acct],$A20,GL[Month],"&gt;="&amp;$B$4,GL[Month],"&lt;="&amp;$B$5,GL[Dept],IF($B$3="ALL","*",$B$3))</f>
        <v/>
      </c>
      <c r="F20" s="17">
        <f>E20-D20</f>
        <v/>
      </c>
      <c r="G20" s="42">
        <f>IFERROR(F20/D20,0)</f>
        <v/>
      </c>
      <c r="H20" s="18">
        <f>IF(ABS(G20)&gt;10%,IF($C20="REVENUE",IF(G20&lt;0,"MISS","BEAT"),IF(G20&gt;0,"OVER","SAVE")),"")</f>
        <v/>
      </c>
      <c r="I20" s="42">
        <f>IFERROR(E20/SUMIFS(GL[Amount],GL[Grp],"REVENUE",GL[Month],"&gt;="&amp;$B$4,GL[Month],"&lt;="&amp;$B$5,GL[Dept],IF($B$3="ALL","*",$B$3)),0)</f>
        <v/>
      </c>
    </row>
    <row r="21"/>
    <row r="23">
      <c r="A23" s="19" t="inlineStr">
        <is>
          <t>מדדי מפתח לתקופה</t>
        </is>
      </c>
    </row>
    <row r="24">
      <c r="A24" s="3" t="inlineStr">
        <is>
          <t>מחזור בפועל</t>
        </is>
      </c>
      <c r="B24" s="17">
        <f>SUMIFS(GL[Amount],GL[Grp],"REVENUE",GL[Month],"&gt;="&amp;$B$4,GL[Month],"&lt;="&amp;$B$5,GL[Dept],IF($B$3="ALL","*",$B$3))</f>
        <v/>
      </c>
    </row>
    <row r="25">
      <c r="A25" s="3" t="inlineStr">
        <is>
          <t>עלות המכר בפועל</t>
        </is>
      </c>
      <c r="B25" s="17">
        <f>SUMIFS(GL[Amount],GL[Grp],"COGS",GL[Month],"&gt;="&amp;$B$4,GL[Month],"&lt;="&amp;$B$5,GL[Dept],IF($B$3="ALL","*",$B$3))</f>
        <v/>
      </c>
    </row>
    <row r="26">
      <c r="A26" s="3" t="inlineStr">
        <is>
          <t>רווח גולמי</t>
        </is>
      </c>
      <c r="B26" s="17">
        <f>B24-B25</f>
        <v/>
      </c>
    </row>
    <row r="27">
      <c r="A27" s="3" t="inlineStr">
        <is>
          <t>שיעור רווח גולמי בפועל</t>
        </is>
      </c>
      <c r="B27" s="42">
        <f>IFERROR(B26/B24,0)</f>
        <v/>
      </c>
    </row>
    <row r="28">
      <c r="A28" s="3" t="inlineStr">
        <is>
          <t>שיעור רווח גולמי בתקציב</t>
        </is>
      </c>
      <c r="B28" s="42">
        <f>IFERROR((SUMIFS(BUDGET[Budget],BUDGET[Grp],"REVENUE",BUDGET[Month],"&gt;="&amp;$B$4,BUDGET[Month],"&lt;="&amp;$B$5)-SUMIFS(BUDGET[Budget],BUDGET[Grp],"COGS",BUDGET[Month],"&gt;="&amp;$B$4,BUDGET[Month],"&lt;="&amp;$B$5))/SUMIFS(BUDGET[Budget],BUDGET[Grp],"REVENUE",BUDGET[Month],"&gt;="&amp;$B$4,BUDGET[Month],"&lt;="&amp;$B$5),0)</f>
        <v/>
      </c>
    </row>
    <row r="29">
      <c r="A29" s="3" t="inlineStr">
        <is>
          <t>פער שיעור הרווח הגולמי, נקודות אחוז</t>
        </is>
      </c>
      <c r="B29" s="42">
        <f>B27-B28</f>
        <v/>
      </c>
    </row>
    <row r="30">
      <c r="A30" s="3" t="inlineStr">
        <is>
          <t>רווח תפעולי בפועל</t>
        </is>
      </c>
      <c r="B30" s="17">
        <f>B26-SUMIFS(GL[Amount],GL[Grp],"OPEX",GL[Month],"&gt;="&amp;$B$4,GL[Month],"&lt;="&amp;$B$5,GL[Dept],IF($B$3="ALL","*",$B$3))</f>
        <v/>
      </c>
    </row>
    <row r="32">
      <c r="A32" s="19" t="inlineStr">
        <is>
          <t>מקרא הקודים</t>
        </is>
      </c>
    </row>
    <row r="33">
      <c r="A33" s="6" t="inlineStr">
        <is>
          <t>OVER</t>
        </is>
      </c>
      <c r="B33" s="12" t="inlineStr">
        <is>
          <t>חריגה בהוצאה מעל 10%</t>
        </is>
      </c>
    </row>
    <row r="34">
      <c r="A34" s="6" t="inlineStr">
        <is>
          <t>SAVE</t>
        </is>
      </c>
      <c r="B34" s="12" t="inlineStr">
        <is>
          <t>חיסכון בהוצאה מעל 10%</t>
        </is>
      </c>
    </row>
    <row r="35">
      <c r="A35" s="6" t="inlineStr">
        <is>
          <t>MISS</t>
        </is>
      </c>
      <c r="B35" s="12" t="inlineStr">
        <is>
          <t>פספוס הכנסה מעל 10%</t>
        </is>
      </c>
    </row>
    <row r="36">
      <c r="A36" s="6" t="inlineStr">
        <is>
          <t>BEAT</t>
        </is>
      </c>
      <c r="B36" s="12" t="inlineStr">
        <is>
          <t>עמידה מעל היעד ביותר מ-10%</t>
        </is>
      </c>
    </row>
    <row r="37">
      <c r="A37" s="6" t="inlineStr">
        <is>
          <t>ALL</t>
        </is>
      </c>
      <c r="B37" s="12" t="inlineStr">
        <is>
          <t>כל המחלקות יחד</t>
        </is>
      </c>
    </row>
    <row r="39">
      <c r="A39" s="15" t="inlineStr">
        <is>
          <t>שורת פער שיעור הרווח הגולמי היא המדד שפקיד השומה בודק ראשון. סטייה של יותר מנקודת אחוז אחת מהשנה הקודמת או מהענף היא הטריגר הנפוץ ביותר לשומה לפי מיטב השפיטה. עדיף לגלות אותה ברבעון ולא בדיון.</t>
        </is>
      </c>
    </row>
    <row r="40">
      <c r="A40" s="15" t="inlineStr">
        <is>
          <t>הגרף מימין מתעדכן ברגע שתמלאו את העמודות. זו הנקודה שבה טבלה הופכת לתמונה, ובה מנהל מבין תוך שתי שניות מה שבטבלה לוקח לו דקה.</t>
        </is>
      </c>
    </row>
  </sheetData>
  <mergeCells count="2">
    <mergeCell ref="A1:I1"/>
    <mergeCell ref="A2:I2"/>
  </mergeCells>
  <conditionalFormatting sqref="G8:G20">
    <cfRule type="cellIs" priority="1" operator="greaterThan" dxfId="0">
      <formula>0.1</formula>
    </cfRule>
    <cfRule type="cellIs" priority="2" operator="lessThan" dxfId="1">
      <formula>-0.1</formula>
    </cfRule>
  </conditionalFormatting>
  <dataValidations count="2">
    <dataValidation sqref="B3" showDropDown="0" showInputMessage="0" showErrorMessage="0" allowBlank="0" type="list">
      <formula1>"ALL,SALES,CHANNEL,SERVICE"</formula1>
    </dataValidation>
    <dataValidation sqref="B4:B5" showDropDown="0" showInputMessage="0" showErrorMessage="0" allowBlank="0" type="whole" operator="between">
      <formula1>1</formula1>
      <formula2>12</formula2>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16"/>
  <sheetViews>
    <sheetView rightToLeft="1" workbookViewId="0">
      <selection activeCell="A1" sqref="A1"/>
    </sheetView>
  </sheetViews>
  <sheetFormatPr baseColWidth="8" defaultRowHeight="15"/>
  <cols>
    <col width="12" customWidth="1" min="1" max="1"/>
    <col width="17" customWidth="1" min="2" max="2"/>
    <col width="11" customWidth="1" min="3" max="3"/>
    <col width="12" customWidth="1" min="4" max="4"/>
    <col width="14" customWidth="1" min="5" max="5"/>
    <col width="11" customWidth="1" min="6" max="6"/>
    <col width="12" customWidth="1" min="7" max="7"/>
    <col width="14" customWidth="1" min="8" max="8"/>
    <col width="14" customWidth="1" min="9" max="9"/>
    <col width="13" customWidth="1" min="10" max="10"/>
    <col width="13" customWidth="1" min="11" max="11"/>
    <col width="13" customWidth="1" min="12" max="12"/>
  </cols>
  <sheetData>
    <row r="1" ht="32" customHeight="1">
      <c r="A1" s="1" t="inlineStr">
        <is>
          <t>Lab 3 · פירוק הסטייה: מחיר, כמות ותמהיל</t>
        </is>
      </c>
    </row>
    <row r="2" ht="18" customHeight="1">
      <c r="A2" s="2" t="inlineStr">
        <is>
          <t>״ההכנסות מתחת לתקציב״ אינה תשובה. התשובה היא כמה מזה מחיר, כמה כמות וכמה תמהיל.</t>
        </is>
      </c>
    </row>
    <row r="7" ht="28" customHeight="1">
      <c r="A7" s="9" t="inlineStr">
        <is>
          <t>Product</t>
        </is>
      </c>
      <c r="B7" s="9" t="inlineStr">
        <is>
          <t>ProductName</t>
        </is>
      </c>
      <c r="C7" s="9" t="inlineStr">
        <is>
          <t>BudQty</t>
        </is>
      </c>
      <c r="D7" s="9" t="inlineStr">
        <is>
          <t>BudPrice</t>
        </is>
      </c>
      <c r="E7" s="9" t="inlineStr">
        <is>
          <t>BudRev</t>
        </is>
      </c>
      <c r="F7" s="9" t="inlineStr">
        <is>
          <t>ActQty</t>
        </is>
      </c>
      <c r="G7" s="9" t="inlineStr">
        <is>
          <t>ActPrice</t>
        </is>
      </c>
      <c r="H7" s="9" t="inlineStr">
        <is>
          <t>ActRev</t>
        </is>
      </c>
      <c r="I7" s="9" t="inlineStr">
        <is>
          <t>TotalVar</t>
        </is>
      </c>
      <c r="J7" s="9" t="inlineStr">
        <is>
          <t>PriceVar</t>
        </is>
      </c>
      <c r="K7" s="9" t="inlineStr">
        <is>
          <t>VolumeVar</t>
        </is>
      </c>
      <c r="L7" s="9" t="inlineStr">
        <is>
          <t>MixVar</t>
        </is>
      </c>
    </row>
    <row r="8">
      <c r="A8" s="6" t="inlineStr">
        <is>
          <t>PRINTERS</t>
        </is>
      </c>
      <c r="B8" s="6" t="inlineStr">
        <is>
          <t>Printers</t>
        </is>
      </c>
      <c r="C8" s="22" t="n">
        <v>1180</v>
      </c>
      <c r="D8" s="22" t="n">
        <v>3250</v>
      </c>
      <c r="E8" s="17">
        <f>C8*D8</f>
        <v/>
      </c>
      <c r="F8" s="22" t="n">
        <v>1042</v>
      </c>
      <c r="G8" s="22" t="n">
        <v>3095</v>
      </c>
      <c r="H8" s="17">
        <f>F8*G8</f>
        <v/>
      </c>
      <c r="I8" s="17">
        <f>H8-E8</f>
        <v/>
      </c>
      <c r="J8" s="17">
        <f>(G8-D8)*F8</f>
        <v/>
      </c>
      <c r="K8" s="17">
        <f>($F$12-$C$12)*(C8/$C$12)*D8</f>
        <v/>
      </c>
      <c r="L8" s="17">
        <f>(F8-$F$12*(C8/$C$12))*D8</f>
        <v/>
      </c>
    </row>
    <row r="9">
      <c r="A9" s="6" t="inlineStr">
        <is>
          <t>MONITORS</t>
        </is>
      </c>
      <c r="B9" s="6" t="inlineStr">
        <is>
          <t>Monitors</t>
        </is>
      </c>
      <c r="C9" s="22" t="n">
        <v>2640</v>
      </c>
      <c r="D9" s="22" t="n">
        <v>1480</v>
      </c>
      <c r="E9" s="17">
        <f>C9*D9</f>
        <v/>
      </c>
      <c r="F9" s="22" t="n">
        <v>2905</v>
      </c>
      <c r="G9" s="22" t="n">
        <v>1425</v>
      </c>
      <c r="H9" s="17">
        <f>F9*G9</f>
        <v/>
      </c>
      <c r="I9" s="17">
        <f>H9-E9</f>
        <v/>
      </c>
      <c r="J9" s="17">
        <f>(G9-D9)*F9</f>
        <v/>
      </c>
      <c r="K9" s="17">
        <f>($F$12-$C$12)*(C9/$C$12)*D9</f>
        <v/>
      </c>
      <c r="L9" s="17">
        <f>(F9-$F$12*(C9/$C$12))*D9</f>
        <v/>
      </c>
    </row>
    <row r="10">
      <c r="A10" s="6" t="inlineStr">
        <is>
          <t>ACCESS</t>
        </is>
      </c>
      <c r="B10" s="6" t="inlineStr">
        <is>
          <t>Accessories</t>
        </is>
      </c>
      <c r="C10" s="22" t="n">
        <v>9800</v>
      </c>
      <c r="D10" s="22" t="n">
        <v>168</v>
      </c>
      <c r="E10" s="17">
        <f>C10*D10</f>
        <v/>
      </c>
      <c r="F10" s="22" t="n">
        <v>11450</v>
      </c>
      <c r="G10" s="22" t="n">
        <v>159</v>
      </c>
      <c r="H10" s="17">
        <f>F10*G10</f>
        <v/>
      </c>
      <c r="I10" s="17">
        <f>H10-E10</f>
        <v/>
      </c>
      <c r="J10" s="17">
        <f>(G10-D10)*F10</f>
        <v/>
      </c>
      <c r="K10" s="17">
        <f>($F$12-$C$12)*(C10/$C$12)*D10</f>
        <v/>
      </c>
      <c r="L10" s="17">
        <f>(F10-$F$12*(C10/$C$12))*D10</f>
        <v/>
      </c>
    </row>
    <row r="11">
      <c r="A11" s="6" t="inlineStr">
        <is>
          <t>SERVICE</t>
        </is>
      </c>
      <c r="B11" s="6" t="inlineStr">
        <is>
          <t>Service and Warranty</t>
        </is>
      </c>
      <c r="C11" s="22" t="n">
        <v>640</v>
      </c>
      <c r="D11" s="22" t="n">
        <v>1800</v>
      </c>
      <c r="E11" s="17">
        <f>C11*D11</f>
        <v/>
      </c>
      <c r="F11" s="22" t="n">
        <v>588</v>
      </c>
      <c r="G11" s="22" t="n">
        <v>1955</v>
      </c>
      <c r="H11" s="17">
        <f>F11*G11</f>
        <v/>
      </c>
      <c r="I11" s="17">
        <f>H11-E11</f>
        <v/>
      </c>
      <c r="J11" s="17">
        <f>(G11-D11)*F11</f>
        <v/>
      </c>
      <c r="K11" s="17">
        <f>($F$12-$C$12)*(C11/$C$12)*D11</f>
        <v/>
      </c>
      <c r="L11" s="17">
        <f>(F11-$F$12*(C11/$C$12))*D11</f>
        <v/>
      </c>
    </row>
    <row r="12">
      <c r="A12" s="3" t="inlineStr">
        <is>
          <t>TOTAL</t>
        </is>
      </c>
      <c r="C12" s="23">
        <f>SUM(C8:C11)</f>
        <v/>
      </c>
      <c r="E12" s="23">
        <f>SUM(E8:E11)</f>
        <v/>
      </c>
      <c r="F12" s="23">
        <f>SUM(F8:F11)</f>
        <v/>
      </c>
      <c r="H12" s="23">
        <f>SUM(H8:H11)</f>
        <v/>
      </c>
      <c r="I12" s="23">
        <f>SUM(I8:I11)</f>
        <v/>
      </c>
      <c r="J12" s="23">
        <f>SUM(J8:J11)</f>
        <v/>
      </c>
      <c r="K12" s="23">
        <f>SUM(K8:K11)</f>
        <v/>
      </c>
      <c r="L12" s="23">
        <f>SUM(L8:L11)</f>
        <v/>
      </c>
    </row>
    <row r="14">
      <c r="A14" s="15" t="inlineStr">
        <is>
          <t>בדיקת האמת: פער מחיר ועוד פער כמות ועוד פער תמהיל שווים בדיוק לסטייה הכוללת. אם לא, יש טעות באחד השלושה.</t>
        </is>
      </c>
    </row>
    <row r="15">
      <c r="A15" s="15" t="inlineStr">
        <is>
          <t>קריאת התוצאה: הכמות הכוללת עלתה ולכן פער הכמות חיובי, אבל פער התמהיל שלילי בסדר גודל דומה, כי הגידול הגיע מאביזרים בשקלים בודדים ולא ממדפסות. בתוספת הנחות המחיר, התוצאה נטו שלילית. ללקוח צריך להגיד: המכירות גדלו והרווח ירד, וזו לא סתירה.</t>
        </is>
      </c>
    </row>
    <row r="16">
      <c r="A16" s="15" t="inlineStr">
        <is>
          <t>אזהרה מקצועית: החישוב מסכם יחידות של מוצרים שמחיריהם שונים פי עשרים. זו הסיבה שפער התמהיל יוצא גדול, וזו התובנה ולא תקלה. מול לקוח אמיתי ודאו שהוא מבין שאלה מספרי הסבר ולא מדידה.</t>
        </is>
      </c>
    </row>
  </sheetData>
  <mergeCells count="2">
    <mergeCell ref="A2:L2"/>
    <mergeCell ref="A1:L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K36"/>
  <sheetViews>
    <sheetView rightToLeft="1" workbookViewId="0">
      <selection activeCell="A1" sqref="A1"/>
    </sheetView>
  </sheetViews>
  <sheetFormatPr baseColWidth="8" defaultRowHeight="15"/>
  <cols>
    <col width="8" customWidth="1" min="1" max="1"/>
    <col width="12" customWidth="1" min="2" max="2"/>
    <col width="14" customWidth="1" min="3" max="3"/>
    <col width="14" customWidth="1" min="4" max="4"/>
    <col width="14" customWidth="1" min="5" max="5"/>
    <col width="14" customWidth="1" min="6" max="6"/>
    <col width="14" customWidth="1" min="7" max="7"/>
    <col width="9" customWidth="1" min="8" max="8"/>
    <col width="9" customWidth="1" min="9" max="9"/>
    <col width="9" customWidth="1" min="10" max="10"/>
    <col width="9" customWidth="1" min="11" max="11"/>
  </cols>
  <sheetData>
    <row r="1" ht="32" customHeight="1">
      <c r="A1" s="1" t="inlineStr">
        <is>
          <t>Lab 4 · הון חוזר ומחזור המזומן</t>
        </is>
      </c>
    </row>
    <row r="2" ht="18" customHeight="1">
      <c r="A2" s="2" t="inlineStr">
        <is>
          <t>שלושה מספרים שמסבירים למה חברה רווחית יכולה להיות בלי מזומן.</t>
        </is>
      </c>
    </row>
    <row r="7" ht="28" customHeight="1">
      <c r="A7" s="9" t="inlineStr">
        <is>
          <t>Month</t>
        </is>
      </c>
      <c r="B7" s="9" t="inlineStr">
        <is>
          <t>MonthName</t>
        </is>
      </c>
      <c r="C7" s="9" t="inlineStr">
        <is>
          <t>Revenue</t>
        </is>
      </c>
      <c r="D7" s="9" t="inlineStr">
        <is>
          <t>COGS</t>
        </is>
      </c>
      <c r="E7" s="9" t="inlineStr">
        <is>
          <t>AR</t>
        </is>
      </c>
      <c r="F7" s="9" t="inlineStr">
        <is>
          <t>AP</t>
        </is>
      </c>
      <c r="G7" s="9" t="inlineStr">
        <is>
          <t>Inventory</t>
        </is>
      </c>
      <c r="H7" s="9" t="inlineStr">
        <is>
          <t>DSO</t>
        </is>
      </c>
      <c r="I7" s="9" t="inlineStr">
        <is>
          <t>DPO</t>
        </is>
      </c>
      <c r="J7" s="9" t="inlineStr">
        <is>
          <t>DIO</t>
        </is>
      </c>
      <c r="K7" s="9" t="inlineStr">
        <is>
          <t>CCC</t>
        </is>
      </c>
    </row>
    <row r="8">
      <c r="A8" s="6" t="n">
        <v>1</v>
      </c>
      <c r="B8" s="6" t="inlineStr">
        <is>
          <t>Jan</t>
        </is>
      </c>
      <c r="C8" s="22" t="n">
        <v>987371</v>
      </c>
      <c r="D8" s="22" t="n">
        <v>609068</v>
      </c>
      <c r="E8" s="22" t="n">
        <v>2145103</v>
      </c>
      <c r="F8" s="22" t="n">
        <v>806162</v>
      </c>
      <c r="G8" s="22" t="n">
        <v>997674</v>
      </c>
      <c r="H8" s="43">
        <f>IFERROR(E8/C8*30,0)</f>
        <v/>
      </c>
      <c r="I8" s="43">
        <f>IFERROR(F8/D8*30,0)</f>
        <v/>
      </c>
      <c r="J8" s="43">
        <f>IFERROR(G8/D8*30,0)</f>
        <v/>
      </c>
      <c r="K8" s="43">
        <f>H8+J8-I8</f>
        <v/>
      </c>
    </row>
    <row r="9">
      <c r="A9" s="6" t="n">
        <v>2</v>
      </c>
      <c r="B9" s="6" t="inlineStr">
        <is>
          <t>Feb</t>
        </is>
      </c>
      <c r="C9" s="22" t="n">
        <v>959952</v>
      </c>
      <c r="D9" s="22" t="n">
        <v>588672</v>
      </c>
      <c r="E9" s="22" t="n">
        <v>2161448</v>
      </c>
      <c r="F9" s="22" t="n">
        <v>952386</v>
      </c>
      <c r="G9" s="22" t="n">
        <v>1048375</v>
      </c>
      <c r="H9" s="43">
        <f>IFERROR(E9/C9*30,0)</f>
        <v/>
      </c>
      <c r="I9" s="43">
        <f>IFERROR(F9/D9*30,0)</f>
        <v/>
      </c>
      <c r="J9" s="43">
        <f>IFERROR(G9/D9*30,0)</f>
        <v/>
      </c>
      <c r="K9" s="43">
        <f>H9+J9-I9</f>
        <v/>
      </c>
    </row>
    <row r="10">
      <c r="A10" s="6" t="n">
        <v>3</v>
      </c>
      <c r="B10" s="6" t="inlineStr">
        <is>
          <t>Mar</t>
        </is>
      </c>
      <c r="C10" s="22" t="n">
        <v>1176314</v>
      </c>
      <c r="D10" s="22" t="n">
        <v>724896</v>
      </c>
      <c r="E10" s="22" t="n">
        <v>2792225</v>
      </c>
      <c r="F10" s="22" t="n">
        <v>1093584</v>
      </c>
      <c r="G10" s="22" t="n">
        <v>1169237</v>
      </c>
      <c r="H10" s="43">
        <f>IFERROR(E10/C10*30,0)</f>
        <v/>
      </c>
      <c r="I10" s="43">
        <f>IFERROR(F10/D10*30,0)</f>
        <v/>
      </c>
      <c r="J10" s="43">
        <f>IFERROR(G10/D10*30,0)</f>
        <v/>
      </c>
      <c r="K10" s="43">
        <f>H10+J10-I10</f>
        <v/>
      </c>
    </row>
    <row r="11">
      <c r="A11" s="6" t="n">
        <v>4</v>
      </c>
      <c r="B11" s="6" t="inlineStr">
        <is>
          <t>Apr</t>
        </is>
      </c>
      <c r="C11" s="22" t="n">
        <v>1069254</v>
      </c>
      <c r="D11" s="22" t="n">
        <v>655706</v>
      </c>
      <c r="E11" s="22" t="n">
        <v>2575637</v>
      </c>
      <c r="F11" s="22" t="n">
        <v>1068741</v>
      </c>
      <c r="G11" s="22" t="n">
        <v>1034082</v>
      </c>
      <c r="H11" s="43">
        <f>IFERROR(E11/C11*30,0)</f>
        <v/>
      </c>
      <c r="I11" s="43">
        <f>IFERROR(F11/D11*30,0)</f>
        <v/>
      </c>
      <c r="J11" s="43">
        <f>IFERROR(G11/D11*30,0)</f>
        <v/>
      </c>
      <c r="K11" s="43">
        <f>H11+J11-I11</f>
        <v/>
      </c>
    </row>
    <row r="12">
      <c r="A12" s="6" t="n">
        <v>5</v>
      </c>
      <c r="B12" s="6" t="inlineStr">
        <is>
          <t>May</t>
        </is>
      </c>
      <c r="C12" s="22" t="n">
        <v>1072789</v>
      </c>
      <c r="D12" s="22" t="n">
        <v>660380</v>
      </c>
      <c r="E12" s="22" t="n">
        <v>2571705</v>
      </c>
      <c r="F12" s="22" t="n">
        <v>859339</v>
      </c>
      <c r="G12" s="22" t="n">
        <v>1159433</v>
      </c>
      <c r="H12" s="43">
        <f>IFERROR(E12/C12*30,0)</f>
        <v/>
      </c>
      <c r="I12" s="43">
        <f>IFERROR(F12/D12*30,0)</f>
        <v/>
      </c>
      <c r="J12" s="43">
        <f>IFERROR(G12/D12*30,0)</f>
        <v/>
      </c>
      <c r="K12" s="43">
        <f>H12+J12-I12</f>
        <v/>
      </c>
    </row>
    <row r="13">
      <c r="A13" s="6" t="n">
        <v>6</v>
      </c>
      <c r="B13" s="6" t="inlineStr">
        <is>
          <t>Jun</t>
        </is>
      </c>
      <c r="C13" s="22" t="n">
        <v>1233218</v>
      </c>
      <c r="D13" s="22" t="n">
        <v>734894</v>
      </c>
      <c r="E13" s="22" t="n">
        <v>3121443</v>
      </c>
      <c r="F13" s="22" t="n">
        <v>1244699</v>
      </c>
      <c r="G13" s="22" t="n">
        <v>1104023</v>
      </c>
      <c r="H13" s="43">
        <f>IFERROR(E13/C13*30,0)</f>
        <v/>
      </c>
      <c r="I13" s="43">
        <f>IFERROR(F13/D13*30,0)</f>
        <v/>
      </c>
      <c r="J13" s="43">
        <f>IFERROR(G13/D13*30,0)</f>
        <v/>
      </c>
      <c r="K13" s="43">
        <f>H13+J13-I13</f>
        <v/>
      </c>
    </row>
    <row r="14">
      <c r="A14" s="6" t="n">
        <v>7</v>
      </c>
      <c r="B14" s="6" t="inlineStr">
        <is>
          <t>Jul</t>
        </is>
      </c>
      <c r="C14" s="22" t="n">
        <v>985181</v>
      </c>
      <c r="D14" s="22" t="n">
        <v>605171</v>
      </c>
      <c r="E14" s="22" t="n">
        <v>2366819</v>
      </c>
      <c r="F14" s="22" t="n">
        <v>889482</v>
      </c>
      <c r="G14" s="22" t="n">
        <v>1121343</v>
      </c>
      <c r="H14" s="43">
        <f>IFERROR(E14/C14*30,0)</f>
        <v/>
      </c>
      <c r="I14" s="43">
        <f>IFERROR(F14/D14*30,0)</f>
        <v/>
      </c>
      <c r="J14" s="43">
        <f>IFERROR(G14/D14*30,0)</f>
        <v/>
      </c>
      <c r="K14" s="43">
        <f>H14+J14-I14</f>
        <v/>
      </c>
    </row>
    <row r="15">
      <c r="A15" s="6" t="n">
        <v>8</v>
      </c>
      <c r="B15" s="6" t="inlineStr">
        <is>
          <t>Aug</t>
        </is>
      </c>
      <c r="C15" s="22" t="n">
        <v>932546</v>
      </c>
      <c r="D15" s="22" t="n">
        <v>546524</v>
      </c>
      <c r="E15" s="22" t="n">
        <v>2402910</v>
      </c>
      <c r="F15" s="22" t="n">
        <v>817834</v>
      </c>
      <c r="G15" s="22" t="n">
        <v>894733</v>
      </c>
      <c r="H15" s="43">
        <f>IFERROR(E15/C15*30,0)</f>
        <v/>
      </c>
      <c r="I15" s="43">
        <f>IFERROR(F15/D15*30,0)</f>
        <v/>
      </c>
      <c r="J15" s="43">
        <f>IFERROR(G15/D15*30,0)</f>
        <v/>
      </c>
      <c r="K15" s="43">
        <f>H15+J15-I15</f>
        <v/>
      </c>
    </row>
    <row r="16">
      <c r="A16" s="6" t="n">
        <v>9</v>
      </c>
      <c r="B16" s="6" t="inlineStr">
        <is>
          <t>Sep</t>
        </is>
      </c>
      <c r="C16" s="22" t="n">
        <v>1234550</v>
      </c>
      <c r="D16" s="22" t="n">
        <v>727622</v>
      </c>
      <c r="E16" s="22" t="n">
        <v>2938571</v>
      </c>
      <c r="F16" s="22" t="n">
        <v>1180471</v>
      </c>
      <c r="G16" s="22" t="n">
        <v>1210551</v>
      </c>
      <c r="H16" s="43">
        <f>IFERROR(E16/C16*30,0)</f>
        <v/>
      </c>
      <c r="I16" s="43">
        <f>IFERROR(F16/D16*30,0)</f>
        <v/>
      </c>
      <c r="J16" s="43">
        <f>IFERROR(G16/D16*30,0)</f>
        <v/>
      </c>
      <c r="K16" s="43">
        <f>H16+J16-I16</f>
        <v/>
      </c>
    </row>
    <row r="17">
      <c r="A17" s="6" t="n">
        <v>10</v>
      </c>
      <c r="B17" s="6" t="inlineStr">
        <is>
          <t>Oct</t>
        </is>
      </c>
      <c r="C17" s="22" t="n">
        <v>1236841</v>
      </c>
      <c r="D17" s="22" t="n">
        <v>738154</v>
      </c>
      <c r="E17" s="22" t="n">
        <v>2882123</v>
      </c>
      <c r="F17" s="22" t="n">
        <v>973854</v>
      </c>
      <c r="G17" s="22" t="n">
        <v>1234440</v>
      </c>
      <c r="H17" s="43">
        <f>IFERROR(E17/C17*30,0)</f>
        <v/>
      </c>
      <c r="I17" s="43">
        <f>IFERROR(F17/D17*30,0)</f>
        <v/>
      </c>
      <c r="J17" s="43">
        <f>IFERROR(G17/D17*30,0)</f>
        <v/>
      </c>
      <c r="K17" s="43">
        <f>H17+J17-I17</f>
        <v/>
      </c>
    </row>
    <row r="18">
      <c r="A18" s="6" t="n">
        <v>11</v>
      </c>
      <c r="B18" s="6" t="inlineStr">
        <is>
          <t>Nov</t>
        </is>
      </c>
      <c r="C18" s="22" t="n">
        <v>1236810</v>
      </c>
      <c r="D18" s="22" t="n">
        <v>759323</v>
      </c>
      <c r="E18" s="22" t="n">
        <v>2831335</v>
      </c>
      <c r="F18" s="22" t="n">
        <v>1104857</v>
      </c>
      <c r="G18" s="22" t="n">
        <v>1257691</v>
      </c>
      <c r="H18" s="43">
        <f>IFERROR(E18/C18*30,0)</f>
        <v/>
      </c>
      <c r="I18" s="43">
        <f>IFERROR(F18/D18*30,0)</f>
        <v/>
      </c>
      <c r="J18" s="43">
        <f>IFERROR(G18/D18*30,0)</f>
        <v/>
      </c>
      <c r="K18" s="43">
        <f>H18+J18-I18</f>
        <v/>
      </c>
    </row>
    <row r="19">
      <c r="A19" s="6" t="n">
        <v>12</v>
      </c>
      <c r="B19" s="6" t="inlineStr">
        <is>
          <t>Dec</t>
        </is>
      </c>
      <c r="C19" s="22" t="n">
        <v>1455057</v>
      </c>
      <c r="D19" s="22" t="n">
        <v>906067</v>
      </c>
      <c r="E19" s="22" t="n">
        <v>3167889</v>
      </c>
      <c r="F19" s="22" t="n">
        <v>1258289</v>
      </c>
      <c r="G19" s="22" t="n">
        <v>1537162</v>
      </c>
      <c r="H19" s="43">
        <f>IFERROR(E19/C19*30,0)</f>
        <v/>
      </c>
      <c r="I19" s="43">
        <f>IFERROR(F19/D19*30,0)</f>
        <v/>
      </c>
      <c r="J19" s="43">
        <f>IFERROR(G19/D19*30,0)</f>
        <v/>
      </c>
      <c r="K19" s="43">
        <f>H19+J19-I19</f>
        <v/>
      </c>
    </row>
    <row r="20"/>
    <row r="22">
      <c r="A22" s="19" t="inlineStr">
        <is>
          <t>הלֶבֶר: כמה שווה יום אחד</t>
        </is>
      </c>
    </row>
    <row r="23">
      <c r="A23" s="3" t="inlineStr">
        <is>
          <t>ממוצע DSO שנתי, ימים</t>
        </is>
      </c>
      <c r="B23" s="43">
        <f>AVERAGE(H8:H19)</f>
        <v/>
      </c>
    </row>
    <row r="24">
      <c r="A24" s="3" t="inlineStr">
        <is>
          <t>ממוצע CCC שנתי, ימים</t>
        </is>
      </c>
      <c r="B24" s="43">
        <f>AVERAGE(K8:K19)</f>
        <v/>
      </c>
    </row>
    <row r="25">
      <c r="A25" s="3" t="inlineStr">
        <is>
          <t>מחזור יומי ממוצע</t>
        </is>
      </c>
      <c r="B25" s="17">
        <f>SUM(C8:C19)/365</f>
        <v/>
      </c>
    </row>
    <row r="26">
      <c r="A26" s="3" t="inlineStr">
        <is>
          <t>שווי קיצור יום גבייה אחד</t>
        </is>
      </c>
      <c r="B26" s="17">
        <f>B25</f>
        <v/>
      </c>
    </row>
    <row r="27">
      <c r="A27" s="3" t="inlineStr">
        <is>
          <t>יעד קיצור DSO בימים, שנו את המספר</t>
        </is>
      </c>
      <c r="B27" s="44" t="n">
        <v>7</v>
      </c>
    </row>
    <row r="28">
      <c r="A28" s="3" t="inlineStr">
        <is>
          <t>מזומן שישתחרר מיד</t>
        </is>
      </c>
      <c r="B28" s="17">
        <f>B25*B27</f>
        <v/>
      </c>
    </row>
    <row r="29">
      <c r="A29" s="3" t="inlineStr">
        <is>
          <t>חיסכון ריבית שנתי בריבית 8%</t>
        </is>
      </c>
      <c r="B29" s="17">
        <f>B28*8%</f>
        <v/>
      </c>
    </row>
    <row r="32">
      <c r="A32" s="19" t="inlineStr">
        <is>
          <t>יתרת בעלים, הדגל של מודול ב׳</t>
        </is>
      </c>
    </row>
    <row r="33">
      <c r="A33" s="3" t="inlineStr">
        <is>
          <t>יתרת בעלים לסוף השנה</t>
        </is>
      </c>
      <c r="B33" s="22" t="n">
        <v>486000</v>
      </c>
    </row>
    <row r="34">
      <c r="A34" s="3" t="inlineStr">
        <is>
          <t>מועד החיוב לפי סעיף 3(ט1)</t>
        </is>
      </c>
      <c r="B34" s="6" t="inlineStr">
        <is>
          <t>End of the year following the drawing year</t>
        </is>
      </c>
    </row>
    <row r="36">
      <c r="A36" s="15" t="inlineStr">
        <is>
          <t>יתרת בעלים היא הון חוזר לכל דבר, רק שהיא ממומנת על ידי החברה ומייצרת חבות מס. כשגם ה-CCC גבוה וגם יתרת הבעלים גבוהה, החברה מממנת במקביל את הלקוחות ואת הבעלים, וזו הנקודה שבה נגמרת המסגרת בבנק.</t>
        </is>
      </c>
    </row>
  </sheetData>
  <mergeCells count="2">
    <mergeCell ref="A2:K2"/>
    <mergeCell ref="A1:K1"/>
  </mergeCells>
  <conditionalFormatting sqref="K8:K19">
    <cfRule type="colorScale" priority="1">
      <colorScale>
        <cfvo type="min"/>
        <cfvo type="percentile" val="50"/>
        <cfvo type="max"/>
        <color rgb="00C6EFCE"/>
        <color rgb="00FFEB9C"/>
        <color rgb="00FFC7CE"/>
      </colorScale>
    </cfRule>
  </conditionalFormatting>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R47"/>
  <sheetViews>
    <sheetView rightToLeft="1" workbookViewId="0">
      <selection activeCell="A1" sqref="A1"/>
    </sheetView>
  </sheetViews>
  <sheetFormatPr baseColWidth="8" defaultRowHeight="15"/>
  <cols>
    <col width="14" customWidth="1" min="1" max="1"/>
    <col width="28" customWidth="1" min="2" max="2"/>
    <col width="7"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4" customWidth="1" min="17" max="17"/>
  </cols>
  <sheetData>
    <row r="1" ht="32" customHeight="1">
      <c r="A1" s="1" t="inlineStr">
        <is>
          <t>Lab 5 · תזרים מזומנים ל-13 שבועות</t>
        </is>
      </c>
    </row>
    <row r="2" ht="18" customHeight="1">
      <c r="A2" s="2" t="inlineStr">
        <is>
          <t>13 שבועות הם רבעון. מספיק רחוק כדי להספיק לפעול, מספיק קרוב כדי שהמספרים יהיו אמיתיים.</t>
        </is>
      </c>
    </row>
    <row r="4">
      <c r="A4" s="3" t="inlineStr">
        <is>
          <t>Scenario (תרחיש):</t>
        </is>
      </c>
      <c r="B4" s="20" t="inlineStr">
        <is>
          <t>BASE</t>
        </is>
      </c>
    </row>
    <row r="5">
      <c r="A5" s="3" t="inlineStr">
        <is>
          <t>Opening (יתרת פתיחה):</t>
        </is>
      </c>
      <c r="B5" s="26" t="n">
        <v>285000</v>
      </c>
    </row>
    <row r="6">
      <c r="A6" s="3" t="inlineStr">
        <is>
          <t>Facility (מסגרת אשראי):</t>
        </is>
      </c>
      <c r="B6" s="26" t="n">
        <v>600000</v>
      </c>
    </row>
    <row r="9" ht="28" customHeight="1">
      <c r="A9" s="9" t="inlineStr">
        <is>
          <t>Line</t>
        </is>
      </c>
      <c r="B9" s="9" t="inlineStr">
        <is>
          <t>LineName</t>
        </is>
      </c>
      <c r="C9" s="9" t="inlineStr">
        <is>
          <t>Conf</t>
        </is>
      </c>
      <c r="D9" s="9" t="inlineStr">
        <is>
          <t>W1
05/07</t>
        </is>
      </c>
      <c r="E9" s="9" t="inlineStr">
        <is>
          <t>W2
12/07</t>
        </is>
      </c>
      <c r="F9" s="9" t="inlineStr">
        <is>
          <t>W3
19/07</t>
        </is>
      </c>
      <c r="G9" s="9" t="inlineStr">
        <is>
          <t>W4
26/07</t>
        </is>
      </c>
      <c r="H9" s="9" t="inlineStr">
        <is>
          <t>W5
02/08</t>
        </is>
      </c>
      <c r="I9" s="9" t="inlineStr">
        <is>
          <t>W6
09/08</t>
        </is>
      </c>
      <c r="J9" s="9" t="inlineStr">
        <is>
          <t>W7
16/08</t>
        </is>
      </c>
      <c r="K9" s="9" t="inlineStr">
        <is>
          <t>W8
23/08</t>
        </is>
      </c>
      <c r="L9" s="9" t="inlineStr">
        <is>
          <t>W9
30/08</t>
        </is>
      </c>
      <c r="M9" s="9" t="inlineStr">
        <is>
          <t>W10
06/09</t>
        </is>
      </c>
      <c r="N9" s="9" t="inlineStr">
        <is>
          <t>W11
13/09</t>
        </is>
      </c>
      <c r="O9" s="9" t="inlineStr">
        <is>
          <t>W12
20/09</t>
        </is>
      </c>
      <c r="P9" s="9" t="inlineStr">
        <is>
          <t>W13
27/09</t>
        </is>
      </c>
      <c r="Q9" s="9" t="inlineStr">
        <is>
          <t>Total</t>
        </is>
      </c>
    </row>
    <row r="10">
      <c r="A10" s="6" t="inlineStr">
        <is>
          <t>AR_CONTRACT</t>
        </is>
      </c>
      <c r="B10" s="6" t="inlineStr">
        <is>
          <t>Customer receipts, fixed contracts</t>
        </is>
      </c>
      <c r="C10" s="7" t="n">
        <v>5</v>
      </c>
      <c r="D10" s="22" t="n">
        <v>180000</v>
      </c>
      <c r="E10" s="22" t="n">
        <v>180000</v>
      </c>
      <c r="F10" s="22" t="n">
        <v>180000</v>
      </c>
      <c r="G10" s="22" t="n">
        <v>180000</v>
      </c>
      <c r="H10" s="22" t="n">
        <v>180000</v>
      </c>
      <c r="I10" s="22" t="n">
        <v>180000</v>
      </c>
      <c r="J10" s="22" t="n">
        <v>180000</v>
      </c>
      <c r="K10" s="22" t="n">
        <v>180000</v>
      </c>
      <c r="L10" s="22" t="n">
        <v>180000</v>
      </c>
      <c r="M10" s="22" t="n">
        <v>180000</v>
      </c>
      <c r="N10" s="22" t="n">
        <v>180000</v>
      </c>
      <c r="O10" s="22" t="n">
        <v>180000</v>
      </c>
      <c r="P10" s="22" t="n">
        <v>180000</v>
      </c>
    </row>
    <row r="11">
      <c r="A11" s="6" t="inlineStr">
        <is>
          <t>AR_OPEN</t>
        </is>
      </c>
      <c r="B11" s="6" t="inlineStr">
        <is>
          <t>Customer receipts, open orders</t>
        </is>
      </c>
      <c r="C11" s="7" t="n">
        <v>3</v>
      </c>
      <c r="D11" s="22" t="n">
        <v>120000</v>
      </c>
      <c r="E11" s="22" t="n">
        <v>90000</v>
      </c>
      <c r="F11" s="22" t="n">
        <v>140000</v>
      </c>
      <c r="G11" s="22" t="n">
        <v>110000</v>
      </c>
      <c r="H11" s="22" t="n">
        <v>95000</v>
      </c>
      <c r="I11" s="22" t="n">
        <v>130000</v>
      </c>
      <c r="J11" s="22" t="n">
        <v>105000</v>
      </c>
      <c r="K11" s="22" t="n">
        <v>88000</v>
      </c>
      <c r="L11" s="22" t="n">
        <v>145000</v>
      </c>
      <c r="M11" s="22" t="n">
        <v>120000</v>
      </c>
      <c r="N11" s="22" t="n">
        <v>99000</v>
      </c>
      <c r="O11" s="22" t="n">
        <v>132000</v>
      </c>
      <c r="P11" s="22" t="n">
        <v>118000</v>
      </c>
    </row>
    <row r="12">
      <c r="A12" s="6" t="inlineStr">
        <is>
          <t>AR_PIPE</t>
        </is>
      </c>
      <c r="B12" s="6" t="inlineStr">
        <is>
          <t>Customer receipts, sales pipeline</t>
        </is>
      </c>
      <c r="C12" s="7" t="n">
        <v>1</v>
      </c>
      <c r="D12" s="22" t="n">
        <v>0</v>
      </c>
      <c r="E12" s="22" t="n">
        <v>60000</v>
      </c>
      <c r="F12" s="22" t="n">
        <v>0</v>
      </c>
      <c r="G12" s="22" t="n">
        <v>75000</v>
      </c>
      <c r="H12" s="22" t="n">
        <v>0</v>
      </c>
      <c r="I12" s="22" t="n">
        <v>0</v>
      </c>
      <c r="J12" s="22" t="n">
        <v>90000</v>
      </c>
      <c r="K12" s="22" t="n">
        <v>0</v>
      </c>
      <c r="L12" s="22" t="n">
        <v>55000</v>
      </c>
      <c r="M12" s="22" t="n">
        <v>0</v>
      </c>
      <c r="N12" s="22" t="n">
        <v>70000</v>
      </c>
      <c r="O12" s="22" t="n">
        <v>0</v>
      </c>
      <c r="P12" s="22" t="n">
        <v>80000</v>
      </c>
    </row>
    <row r="13">
      <c r="A13" s="6" t="inlineStr">
        <is>
          <t>VAT_REFUND</t>
        </is>
      </c>
      <c r="B13" s="6" t="inlineStr">
        <is>
          <t>VAT input refund</t>
        </is>
      </c>
      <c r="C13" s="7" t="n">
        <v>4</v>
      </c>
      <c r="D13" s="22" t="n">
        <v>0</v>
      </c>
      <c r="E13" s="22" t="n">
        <v>0</v>
      </c>
      <c r="F13" s="22" t="n">
        <v>0</v>
      </c>
      <c r="G13" s="22" t="n">
        <v>0</v>
      </c>
      <c r="H13" s="22" t="n">
        <v>0</v>
      </c>
      <c r="I13" s="22" t="n">
        <v>0</v>
      </c>
      <c r="J13" s="22" t="n">
        <v>0</v>
      </c>
      <c r="K13" s="22" t="n">
        <v>0</v>
      </c>
      <c r="L13" s="22" t="n">
        <v>148000</v>
      </c>
      <c r="M13" s="22" t="n">
        <v>0</v>
      </c>
      <c r="N13" s="22" t="n">
        <v>0</v>
      </c>
      <c r="O13" s="22" t="n">
        <v>0</v>
      </c>
      <c r="P13" s="22" t="n">
        <v>0</v>
      </c>
    </row>
    <row r="14">
      <c r="A14" s="6" t="inlineStr">
        <is>
          <t>AP_IMPORT</t>
        </is>
      </c>
      <c r="B14" s="6" t="inlineStr">
        <is>
          <t>Payment to import suppliers</t>
        </is>
      </c>
      <c r="C14" s="7" t="n">
        <v>5</v>
      </c>
      <c r="D14" s="22" t="n">
        <v>0</v>
      </c>
      <c r="E14" s="22" t="n">
        <v>-430000</v>
      </c>
      <c r="F14" s="22" t="n">
        <v>0</v>
      </c>
      <c r="G14" s="22" t="n">
        <v>0</v>
      </c>
      <c r="H14" s="22" t="n">
        <v>-415000</v>
      </c>
      <c r="I14" s="22" t="n">
        <v>0</v>
      </c>
      <c r="J14" s="22" t="n">
        <v>0</v>
      </c>
      <c r="K14" s="22" t="n">
        <v>-470000</v>
      </c>
      <c r="L14" s="22" t="n">
        <v>0</v>
      </c>
      <c r="M14" s="22" t="n">
        <v>0</v>
      </c>
      <c r="N14" s="22" t="n">
        <v>-402000</v>
      </c>
      <c r="O14" s="22" t="n">
        <v>0</v>
      </c>
      <c r="P14" s="22" t="n">
        <v>0</v>
      </c>
    </row>
    <row r="15">
      <c r="A15" s="6" t="inlineStr">
        <is>
          <t>AP_CUSTOMS</t>
        </is>
      </c>
      <c r="B15" s="6" t="inlineStr">
        <is>
          <t>Customs and freight clearance</t>
        </is>
      </c>
      <c r="C15" s="7" t="n">
        <v>5</v>
      </c>
      <c r="D15" s="22" t="n">
        <v>0</v>
      </c>
      <c r="E15" s="22" t="n">
        <v>-86000</v>
      </c>
      <c r="F15" s="22" t="n">
        <v>0</v>
      </c>
      <c r="G15" s="22" t="n">
        <v>0</v>
      </c>
      <c r="H15" s="22" t="n">
        <v>-83000</v>
      </c>
      <c r="I15" s="22" t="n">
        <v>0</v>
      </c>
      <c r="J15" s="22" t="n">
        <v>0</v>
      </c>
      <c r="K15" s="22" t="n">
        <v>-94000</v>
      </c>
      <c r="L15" s="22" t="n">
        <v>0</v>
      </c>
      <c r="M15" s="22" t="n">
        <v>0</v>
      </c>
      <c r="N15" s="22" t="n">
        <v>-79000</v>
      </c>
      <c r="O15" s="22" t="n">
        <v>0</v>
      </c>
      <c r="P15" s="22" t="n">
        <v>0</v>
      </c>
    </row>
    <row r="16">
      <c r="A16" s="6" t="inlineStr">
        <is>
          <t>AP_STOCK</t>
        </is>
      </c>
      <c r="B16" s="6" t="inlineStr">
        <is>
          <t>Year end season stock purchase</t>
        </is>
      </c>
      <c r="C16" s="7" t="n">
        <v>4</v>
      </c>
      <c r="D16" s="22" t="n">
        <v>0</v>
      </c>
      <c r="E16" s="22" t="n">
        <v>0</v>
      </c>
      <c r="F16" s="22" t="n">
        <v>0</v>
      </c>
      <c r="G16" s="22" t="n">
        <v>0</v>
      </c>
      <c r="H16" s="22" t="n">
        <v>0</v>
      </c>
      <c r="I16" s="22" t="n">
        <v>0</v>
      </c>
      <c r="J16" s="22" t="n">
        <v>-225000</v>
      </c>
      <c r="K16" s="22" t="n">
        <v>0</v>
      </c>
      <c r="L16" s="22" t="n">
        <v>0</v>
      </c>
      <c r="M16" s="22" t="n">
        <v>0</v>
      </c>
      <c r="N16" s="22" t="n">
        <v>0</v>
      </c>
      <c r="O16" s="22" t="n">
        <v>0</v>
      </c>
      <c r="P16" s="22" t="n">
        <v>0</v>
      </c>
    </row>
    <row r="17">
      <c r="A17" s="6" t="inlineStr">
        <is>
          <t>PAYROLL</t>
        </is>
      </c>
      <c r="B17" s="6" t="inlineStr">
        <is>
          <t>Payroll and related</t>
        </is>
      </c>
      <c r="C17" s="7" t="n">
        <v>5</v>
      </c>
      <c r="D17" s="22" t="n">
        <v>0</v>
      </c>
      <c r="E17" s="22" t="n">
        <v>0</v>
      </c>
      <c r="F17" s="22" t="n">
        <v>0</v>
      </c>
      <c r="G17" s="22" t="n">
        <v>-168000</v>
      </c>
      <c r="H17" s="22" t="n">
        <v>0</v>
      </c>
      <c r="I17" s="22" t="n">
        <v>0</v>
      </c>
      <c r="J17" s="22" t="n">
        <v>0</v>
      </c>
      <c r="K17" s="22" t="n">
        <v>-171000</v>
      </c>
      <c r="L17" s="22" t="n">
        <v>0</v>
      </c>
      <c r="M17" s="22" t="n">
        <v>0</v>
      </c>
      <c r="N17" s="22" t="n">
        <v>0</v>
      </c>
      <c r="O17" s="22" t="n">
        <v>-169000</v>
      </c>
      <c r="P17" s="22" t="n">
        <v>0</v>
      </c>
    </row>
    <row r="18">
      <c r="A18" s="6" t="inlineStr">
        <is>
          <t>TAX_102</t>
        </is>
      </c>
      <c r="B18" s="6" t="inlineStr">
        <is>
          <t>Withholding, form 102</t>
        </is>
      </c>
      <c r="C18" s="7" t="n">
        <v>5</v>
      </c>
      <c r="D18" s="22" t="n">
        <v>0</v>
      </c>
      <c r="E18" s="22" t="n">
        <v>0</v>
      </c>
      <c r="F18" s="22" t="n">
        <v>0</v>
      </c>
      <c r="G18" s="22" t="n">
        <v>0</v>
      </c>
      <c r="H18" s="22" t="n">
        <v>-41000</v>
      </c>
      <c r="I18" s="22" t="n">
        <v>0</v>
      </c>
      <c r="J18" s="22" t="n">
        <v>0</v>
      </c>
      <c r="K18" s="22" t="n">
        <v>0</v>
      </c>
      <c r="L18" s="22" t="n">
        <v>-42000</v>
      </c>
      <c r="M18" s="22" t="n">
        <v>0</v>
      </c>
      <c r="N18" s="22" t="n">
        <v>0</v>
      </c>
      <c r="O18" s="22" t="n">
        <v>0</v>
      </c>
      <c r="P18" s="22" t="n">
        <v>-41500</v>
      </c>
    </row>
    <row r="19">
      <c r="A19" s="6" t="inlineStr">
        <is>
          <t>TAX_NI</t>
        </is>
      </c>
      <c r="B19" s="6" t="inlineStr">
        <is>
          <t>Social security</t>
        </is>
      </c>
      <c r="C19" s="7" t="n">
        <v>5</v>
      </c>
      <c r="D19" s="22" t="n">
        <v>0</v>
      </c>
      <c r="E19" s="22" t="n">
        <v>0</v>
      </c>
      <c r="F19" s="22" t="n">
        <v>0</v>
      </c>
      <c r="G19" s="22" t="n">
        <v>0</v>
      </c>
      <c r="H19" s="22" t="n">
        <v>-23000</v>
      </c>
      <c r="I19" s="22" t="n">
        <v>0</v>
      </c>
      <c r="J19" s="22" t="n">
        <v>0</v>
      </c>
      <c r="K19" s="22" t="n">
        <v>0</v>
      </c>
      <c r="L19" s="22" t="n">
        <v>-23500</v>
      </c>
      <c r="M19" s="22" t="n">
        <v>0</v>
      </c>
      <c r="N19" s="22" t="n">
        <v>0</v>
      </c>
      <c r="O19" s="22" t="n">
        <v>0</v>
      </c>
      <c r="P19" s="22" t="n">
        <v>-23200</v>
      </c>
    </row>
    <row r="20">
      <c r="A20" s="6" t="inlineStr">
        <is>
          <t>TAX_VAT</t>
        </is>
      </c>
      <c r="B20" s="6" t="inlineStr">
        <is>
          <t>VAT, bimonthly payment</t>
        </is>
      </c>
      <c r="C20" s="7" t="n">
        <v>5</v>
      </c>
      <c r="D20" s="22" t="n">
        <v>0</v>
      </c>
      <c r="E20" s="22" t="n">
        <v>0</v>
      </c>
      <c r="F20" s="22" t="n">
        <v>0</v>
      </c>
      <c r="G20" s="22" t="n">
        <v>0</v>
      </c>
      <c r="H20" s="22" t="n">
        <v>0</v>
      </c>
      <c r="I20" s="22" t="n">
        <v>-214000</v>
      </c>
      <c r="J20" s="22" t="n">
        <v>0</v>
      </c>
      <c r="K20" s="22" t="n">
        <v>0</v>
      </c>
      <c r="L20" s="22" t="n">
        <v>0</v>
      </c>
      <c r="M20" s="22" t="n">
        <v>0</v>
      </c>
      <c r="N20" s="22" t="n">
        <v>0</v>
      </c>
      <c r="O20" s="22" t="n">
        <v>0</v>
      </c>
      <c r="P20" s="22" t="n">
        <v>-226000</v>
      </c>
    </row>
    <row r="21">
      <c r="A21" s="6" t="inlineStr">
        <is>
          <t>TAX_ADV</t>
        </is>
      </c>
      <c r="B21" s="6" t="inlineStr">
        <is>
          <t>Income tax advances</t>
        </is>
      </c>
      <c r="C21" s="7" t="n">
        <v>5</v>
      </c>
      <c r="D21" s="22" t="n">
        <v>0</v>
      </c>
      <c r="E21" s="22" t="n">
        <v>0</v>
      </c>
      <c r="F21" s="22" t="n">
        <v>0</v>
      </c>
      <c r="G21" s="22" t="n">
        <v>0</v>
      </c>
      <c r="H21" s="22" t="n">
        <v>0</v>
      </c>
      <c r="I21" s="22" t="n">
        <v>-78000</v>
      </c>
      <c r="J21" s="22" t="n">
        <v>0</v>
      </c>
      <c r="K21" s="22" t="n">
        <v>0</v>
      </c>
      <c r="L21" s="22" t="n">
        <v>0</v>
      </c>
      <c r="M21" s="22" t="n">
        <v>0</v>
      </c>
      <c r="N21" s="22" t="n">
        <v>0</v>
      </c>
      <c r="O21" s="22" t="n">
        <v>0</v>
      </c>
      <c r="P21" s="22" t="n">
        <v>-78000</v>
      </c>
    </row>
    <row r="22">
      <c r="A22" s="6" t="inlineStr">
        <is>
          <t>RENT</t>
        </is>
      </c>
      <c r="B22" s="6" t="inlineStr">
        <is>
          <t>Rent and facilities</t>
        </is>
      </c>
      <c r="C22" s="7" t="n">
        <v>5</v>
      </c>
      <c r="D22" s="22" t="n">
        <v>0</v>
      </c>
      <c r="E22" s="22" t="n">
        <v>-33000</v>
      </c>
      <c r="F22" s="22" t="n">
        <v>0</v>
      </c>
      <c r="G22" s="22" t="n">
        <v>0</v>
      </c>
      <c r="H22" s="22" t="n">
        <v>0</v>
      </c>
      <c r="I22" s="22" t="n">
        <v>-33000</v>
      </c>
      <c r="J22" s="22" t="n">
        <v>0</v>
      </c>
      <c r="K22" s="22" t="n">
        <v>0</v>
      </c>
      <c r="L22" s="22" t="n">
        <v>0</v>
      </c>
      <c r="M22" s="22" t="n">
        <v>-33000</v>
      </c>
      <c r="N22" s="22" t="n">
        <v>0</v>
      </c>
      <c r="O22" s="22" t="n">
        <v>0</v>
      </c>
      <c r="P22" s="22" t="n">
        <v>0</v>
      </c>
    </row>
    <row r="23">
      <c r="A23" s="6" t="inlineStr">
        <is>
          <t>VEHICLE</t>
        </is>
      </c>
      <c r="B23" s="6" t="inlineStr">
        <is>
          <t>Vehicle, lease and fuel</t>
        </is>
      </c>
      <c r="C23" s="7" t="n">
        <v>4</v>
      </c>
      <c r="D23" s="22" t="n">
        <v>0</v>
      </c>
      <c r="E23" s="22" t="n">
        <v>0</v>
      </c>
      <c r="F23" s="22" t="n">
        <v>-18000</v>
      </c>
      <c r="G23" s="22" t="n">
        <v>0</v>
      </c>
      <c r="H23" s="22" t="n">
        <v>0</v>
      </c>
      <c r="I23" s="22" t="n">
        <v>0</v>
      </c>
      <c r="J23" s="22" t="n">
        <v>-18000</v>
      </c>
      <c r="K23" s="22" t="n">
        <v>0</v>
      </c>
      <c r="L23" s="22" t="n">
        <v>0</v>
      </c>
      <c r="M23" s="22" t="n">
        <v>0</v>
      </c>
      <c r="N23" s="22" t="n">
        <v>-18000</v>
      </c>
      <c r="O23" s="22" t="n">
        <v>0</v>
      </c>
      <c r="P23" s="22" t="n">
        <v>0</v>
      </c>
    </row>
    <row r="24">
      <c r="A24" s="6" t="inlineStr">
        <is>
          <t>MARKETING</t>
        </is>
      </c>
      <c r="B24" s="6" t="inlineStr">
        <is>
          <t>Marketing</t>
        </is>
      </c>
      <c r="C24" s="7" t="n">
        <v>3</v>
      </c>
      <c r="D24" s="22" t="n">
        <v>-28000</v>
      </c>
      <c r="E24" s="22" t="n">
        <v>0</v>
      </c>
      <c r="F24" s="22" t="n">
        <v>0</v>
      </c>
      <c r="G24" s="22" t="n">
        <v>-28000</v>
      </c>
      <c r="H24" s="22" t="n">
        <v>0</v>
      </c>
      <c r="I24" s="22" t="n">
        <v>0</v>
      </c>
      <c r="J24" s="22" t="n">
        <v>-28000</v>
      </c>
      <c r="K24" s="22" t="n">
        <v>0</v>
      </c>
      <c r="L24" s="22" t="n">
        <v>0</v>
      </c>
      <c r="M24" s="22" t="n">
        <v>-28000</v>
      </c>
      <c r="N24" s="22" t="n">
        <v>0</v>
      </c>
      <c r="O24" s="22" t="n">
        <v>0</v>
      </c>
      <c r="P24" s="22" t="n">
        <v>-28000</v>
      </c>
    </row>
    <row r="25">
      <c r="A25" s="6" t="inlineStr">
        <is>
          <t>OFFICE</t>
        </is>
      </c>
      <c r="B25" s="6" t="inlineStr">
        <is>
          <t>Office and other</t>
        </is>
      </c>
      <c r="C25" s="7" t="n">
        <v>3</v>
      </c>
      <c r="D25" s="22" t="n">
        <v>-9000</v>
      </c>
      <c r="E25" s="22" t="n">
        <v>-9000</v>
      </c>
      <c r="F25" s="22" t="n">
        <v>-9000</v>
      </c>
      <c r="G25" s="22" t="n">
        <v>-9000</v>
      </c>
      <c r="H25" s="22" t="n">
        <v>-9000</v>
      </c>
      <c r="I25" s="22" t="n">
        <v>-9000</v>
      </c>
      <c r="J25" s="22" t="n">
        <v>-9000</v>
      </c>
      <c r="K25" s="22" t="n">
        <v>-9000</v>
      </c>
      <c r="L25" s="22" t="n">
        <v>-9000</v>
      </c>
      <c r="M25" s="22" t="n">
        <v>-9000</v>
      </c>
      <c r="N25" s="22" t="n">
        <v>-9000</v>
      </c>
      <c r="O25" s="22" t="n">
        <v>-9000</v>
      </c>
      <c r="P25" s="22" t="n">
        <v>-9000</v>
      </c>
    </row>
    <row r="26">
      <c r="A26" s="6" t="inlineStr">
        <is>
          <t>LOAN</t>
        </is>
      </c>
      <c r="B26" s="6" t="inlineStr">
        <is>
          <t>Bank loan repayment</t>
        </is>
      </c>
      <c r="C26" s="7" t="n">
        <v>5</v>
      </c>
      <c r="D26" s="22" t="n">
        <v>0</v>
      </c>
      <c r="E26" s="22" t="n">
        <v>0</v>
      </c>
      <c r="F26" s="22" t="n">
        <v>0</v>
      </c>
      <c r="G26" s="22" t="n">
        <v>-46000</v>
      </c>
      <c r="H26" s="22" t="n">
        <v>0</v>
      </c>
      <c r="I26" s="22" t="n">
        <v>0</v>
      </c>
      <c r="J26" s="22" t="n">
        <v>0</v>
      </c>
      <c r="K26" s="22" t="n">
        <v>-46000</v>
      </c>
      <c r="L26" s="22" t="n">
        <v>0</v>
      </c>
      <c r="M26" s="22" t="n">
        <v>0</v>
      </c>
      <c r="N26" s="22" t="n">
        <v>0</v>
      </c>
      <c r="O26" s="22" t="n">
        <v>-46000</v>
      </c>
      <c r="P26" s="22" t="n">
        <v>0</v>
      </c>
    </row>
    <row r="27">
      <c r="A27" s="6" t="inlineStr">
        <is>
          <t>OWNER_DRAW</t>
        </is>
      </c>
      <c r="B27" s="6" t="inlineStr">
        <is>
          <t>Owner drawings</t>
        </is>
      </c>
      <c r="C27" s="7" t="n">
        <v>2</v>
      </c>
      <c r="D27" s="22" t="n">
        <v>0</v>
      </c>
      <c r="E27" s="22" t="n">
        <v>0</v>
      </c>
      <c r="F27" s="22" t="n">
        <v>0</v>
      </c>
      <c r="G27" s="22" t="n">
        <v>-35000</v>
      </c>
      <c r="H27" s="22" t="n">
        <v>0</v>
      </c>
      <c r="I27" s="22" t="n">
        <v>0</v>
      </c>
      <c r="J27" s="22" t="n">
        <v>0</v>
      </c>
      <c r="K27" s="22" t="n">
        <v>-35000</v>
      </c>
      <c r="L27" s="22" t="n">
        <v>0</v>
      </c>
      <c r="M27" s="22" t="n">
        <v>0</v>
      </c>
      <c r="N27" s="22" t="n">
        <v>0</v>
      </c>
      <c r="O27" s="22" t="n">
        <v>-35000</v>
      </c>
      <c r="P27" s="22" t="n">
        <v>0</v>
      </c>
    </row>
    <row r="29">
      <c r="A29" s="27" t="inlineStr">
        <is>
          <t>TOTAL_IN</t>
        </is>
      </c>
      <c r="B29" s="27" t="inlineStr">
        <is>
          <t>Total receipts, week</t>
        </is>
      </c>
      <c r="D29" s="17">
        <f>SUMPRODUCT((D$10:D$27&gt;0)*D$10:D$27*IF($B$4="DOWN",($C$10:$C$27&gt;=4)*1,1))*IF($B$4="UP",1.1,IF($B$4="DOWN",0.85,1))</f>
        <v/>
      </c>
      <c r="E29" s="17">
        <f>SUMPRODUCT((E$10:E$27&gt;0)*E$10:E$27*IF($B$4="DOWN",($C$10:$C$27&gt;=4)*1,1))*IF($B$4="UP",1.1,IF($B$4="DOWN",0.85,1))</f>
        <v/>
      </c>
      <c r="F29" s="17">
        <f>SUMPRODUCT((F$10:F$27&gt;0)*F$10:F$27*IF($B$4="DOWN",($C$10:$C$27&gt;=4)*1,1))*IF($B$4="UP",1.1,IF($B$4="DOWN",0.85,1))</f>
        <v/>
      </c>
      <c r="G29" s="17">
        <f>SUMPRODUCT((G$10:G$27&gt;0)*G$10:G$27*IF($B$4="DOWN",($C$10:$C$27&gt;=4)*1,1))*IF($B$4="UP",1.1,IF($B$4="DOWN",0.85,1))</f>
        <v/>
      </c>
      <c r="H29" s="17">
        <f>SUMPRODUCT((H$10:H$27&gt;0)*H$10:H$27*IF($B$4="DOWN",($C$10:$C$27&gt;=4)*1,1))*IF($B$4="UP",1.1,IF($B$4="DOWN",0.85,1))</f>
        <v/>
      </c>
      <c r="I29" s="17">
        <f>SUMPRODUCT((I$10:I$27&gt;0)*I$10:I$27*IF($B$4="DOWN",($C$10:$C$27&gt;=4)*1,1))*IF($B$4="UP",1.1,IF($B$4="DOWN",0.85,1))</f>
        <v/>
      </c>
      <c r="J29" s="17">
        <f>SUMPRODUCT((J$10:J$27&gt;0)*J$10:J$27*IF($B$4="DOWN",($C$10:$C$27&gt;=4)*1,1))*IF($B$4="UP",1.1,IF($B$4="DOWN",0.85,1))</f>
        <v/>
      </c>
      <c r="K29" s="17">
        <f>SUMPRODUCT((K$10:K$27&gt;0)*K$10:K$27*IF($B$4="DOWN",($C$10:$C$27&gt;=4)*1,1))*IF($B$4="UP",1.1,IF($B$4="DOWN",0.85,1))</f>
        <v/>
      </c>
      <c r="L29" s="17">
        <f>SUMPRODUCT((L$10:L$27&gt;0)*L$10:L$27*IF($B$4="DOWN",($C$10:$C$27&gt;=4)*1,1))*IF($B$4="UP",1.1,IF($B$4="DOWN",0.85,1))</f>
        <v/>
      </c>
      <c r="M29" s="17">
        <f>SUMPRODUCT((M$10:M$27&gt;0)*M$10:M$27*IF($B$4="DOWN",($C$10:$C$27&gt;=4)*1,1))*IF($B$4="UP",1.1,IF($B$4="DOWN",0.85,1))</f>
        <v/>
      </c>
      <c r="N29" s="17">
        <f>SUMPRODUCT((N$10:N$27&gt;0)*N$10:N$27*IF($B$4="DOWN",($C$10:$C$27&gt;=4)*1,1))*IF($B$4="UP",1.1,IF($B$4="DOWN",0.85,1))</f>
        <v/>
      </c>
      <c r="O29" s="17">
        <f>SUMPRODUCT((O$10:O$27&gt;0)*O$10:O$27*IF($B$4="DOWN",($C$10:$C$27&gt;=4)*1,1))*IF($B$4="UP",1.1,IF($B$4="DOWN",0.85,1))</f>
        <v/>
      </c>
      <c r="P29" s="17">
        <f>SUMPRODUCT((P$10:P$27&gt;0)*P$10:P$27*IF($B$4="DOWN",($C$10:$C$27&gt;=4)*1,1))*IF($B$4="UP",1.1,IF($B$4="DOWN",0.85,1))</f>
        <v/>
      </c>
      <c r="Q29" s="17">
        <f>SUM(D29:P29)</f>
        <v/>
      </c>
    </row>
    <row r="30">
      <c r="A30" s="27" t="inlineStr">
        <is>
          <t>TOTAL_OUT</t>
        </is>
      </c>
      <c r="B30" s="27" t="inlineStr">
        <is>
          <t>Total payments, week</t>
        </is>
      </c>
      <c r="D30" s="17">
        <f>SUMPRODUCT((D$10:D$27&lt;0)*D$10:D$27)</f>
        <v/>
      </c>
      <c r="E30" s="17">
        <f>SUMPRODUCT((E$10:E$27&lt;0)*E$10:E$27)</f>
        <v/>
      </c>
      <c r="F30" s="17">
        <f>SUMPRODUCT((F$10:F$27&lt;0)*F$10:F$27)</f>
        <v/>
      </c>
      <c r="G30" s="17">
        <f>SUMPRODUCT((G$10:G$27&lt;0)*G$10:G$27)</f>
        <v/>
      </c>
      <c r="H30" s="17">
        <f>SUMPRODUCT((H$10:H$27&lt;0)*H$10:H$27)</f>
        <v/>
      </c>
      <c r="I30" s="17">
        <f>SUMPRODUCT((I$10:I$27&lt;0)*I$10:I$27)</f>
        <v/>
      </c>
      <c r="J30" s="17">
        <f>SUMPRODUCT((J$10:J$27&lt;0)*J$10:J$27)</f>
        <v/>
      </c>
      <c r="K30" s="17">
        <f>SUMPRODUCT((K$10:K$27&lt;0)*K$10:K$27)</f>
        <v/>
      </c>
      <c r="L30" s="17">
        <f>SUMPRODUCT((L$10:L$27&lt;0)*L$10:L$27)</f>
        <v/>
      </c>
      <c r="M30" s="17">
        <f>SUMPRODUCT((M$10:M$27&lt;0)*M$10:M$27)</f>
        <v/>
      </c>
      <c r="N30" s="17">
        <f>SUMPRODUCT((N$10:N$27&lt;0)*N$10:N$27)</f>
        <v/>
      </c>
      <c r="O30" s="17">
        <f>SUMPRODUCT((O$10:O$27&lt;0)*O$10:O$27)</f>
        <v/>
      </c>
      <c r="P30" s="17">
        <f>SUMPRODUCT((P$10:P$27&lt;0)*P$10:P$27)</f>
        <v/>
      </c>
      <c r="Q30" s="17">
        <f>SUM(D30:P30)</f>
        <v/>
      </c>
    </row>
    <row r="31">
      <c r="A31" s="27" t="inlineStr">
        <is>
          <t>NET</t>
        </is>
      </c>
      <c r="B31" s="27" t="inlineStr">
        <is>
          <t>Net cash flow, week</t>
        </is>
      </c>
      <c r="D31" s="17">
        <f>D29+D30</f>
        <v/>
      </c>
      <c r="E31" s="17">
        <f>E29+E30</f>
        <v/>
      </c>
      <c r="F31" s="17">
        <f>F29+F30</f>
        <v/>
      </c>
      <c r="G31" s="17">
        <f>G29+G30</f>
        <v/>
      </c>
      <c r="H31" s="17">
        <f>H29+H30</f>
        <v/>
      </c>
      <c r="I31" s="17">
        <f>I29+I30</f>
        <v/>
      </c>
      <c r="J31" s="17">
        <f>J29+J30</f>
        <v/>
      </c>
      <c r="K31" s="17">
        <f>K29+K30</f>
        <v/>
      </c>
      <c r="L31" s="17">
        <f>L29+L30</f>
        <v/>
      </c>
      <c r="M31" s="17">
        <f>M29+M30</f>
        <v/>
      </c>
      <c r="N31" s="17">
        <f>N29+N30</f>
        <v/>
      </c>
      <c r="O31" s="17">
        <f>O29+O30</f>
        <v/>
      </c>
      <c r="P31" s="17">
        <f>P29+P30</f>
        <v/>
      </c>
      <c r="Q31" s="17">
        <f>SUM(D31:P31)</f>
        <v/>
      </c>
    </row>
    <row r="32">
      <c r="A32" s="27" t="inlineStr">
        <is>
          <t>OPEN</t>
        </is>
      </c>
      <c r="B32" s="27" t="inlineStr">
        <is>
          <t>Opening balance, week</t>
        </is>
      </c>
      <c r="D32" s="17">
        <f>IF(COLUMN()=4,$B$5,C33)</f>
        <v/>
      </c>
      <c r="E32" s="17">
        <f>IF(COLUMN()=4,$B$5,D33)</f>
        <v/>
      </c>
      <c r="F32" s="17">
        <f>IF(COLUMN()=4,$B$5,E33)</f>
        <v/>
      </c>
      <c r="G32" s="17">
        <f>IF(COLUMN()=4,$B$5,F33)</f>
        <v/>
      </c>
      <c r="H32" s="17">
        <f>IF(COLUMN()=4,$B$5,G33)</f>
        <v/>
      </c>
      <c r="I32" s="17">
        <f>IF(COLUMN()=4,$B$5,H33)</f>
        <v/>
      </c>
      <c r="J32" s="17">
        <f>IF(COLUMN()=4,$B$5,I33)</f>
        <v/>
      </c>
      <c r="K32" s="17">
        <f>IF(COLUMN()=4,$B$5,J33)</f>
        <v/>
      </c>
      <c r="L32" s="17">
        <f>IF(COLUMN()=4,$B$5,K33)</f>
        <v/>
      </c>
      <c r="M32" s="17">
        <f>IF(COLUMN()=4,$B$5,L33)</f>
        <v/>
      </c>
      <c r="N32" s="17">
        <f>IF(COLUMN()=4,$B$5,M33)</f>
        <v/>
      </c>
      <c r="O32" s="17">
        <f>IF(COLUMN()=4,$B$5,N33)</f>
        <v/>
      </c>
      <c r="P32" s="17">
        <f>IF(COLUMN()=4,$B$5,O33)</f>
        <v/>
      </c>
      <c r="Q32" s="17">
        <f>D32</f>
        <v/>
      </c>
    </row>
    <row r="33">
      <c r="A33" s="27" t="inlineStr">
        <is>
          <t>CLOSE</t>
        </is>
      </c>
      <c r="B33" s="27" t="inlineStr">
        <is>
          <t>Closing balance, week</t>
        </is>
      </c>
      <c r="D33" s="17">
        <f>D32+D31</f>
        <v/>
      </c>
      <c r="E33" s="17">
        <f>E32+E31</f>
        <v/>
      </c>
      <c r="F33" s="17">
        <f>F32+F31</f>
        <v/>
      </c>
      <c r="G33" s="17">
        <f>G32+G31</f>
        <v/>
      </c>
      <c r="H33" s="17">
        <f>H32+H31</f>
        <v/>
      </c>
      <c r="I33" s="17">
        <f>I32+I31</f>
        <v/>
      </c>
      <c r="J33" s="17">
        <f>J32+J31</f>
        <v/>
      </c>
      <c r="K33" s="17">
        <f>K32+K31</f>
        <v/>
      </c>
      <c r="L33" s="17">
        <f>L32+L31</f>
        <v/>
      </c>
      <c r="M33" s="17">
        <f>M32+M31</f>
        <v/>
      </c>
      <c r="N33" s="17">
        <f>N32+N31</f>
        <v/>
      </c>
      <c r="O33" s="17">
        <f>O32+O31</f>
        <v/>
      </c>
      <c r="P33" s="17">
        <f>P32+P31</f>
        <v/>
      </c>
      <c r="Q33" s="17">
        <f>P33</f>
        <v/>
      </c>
    </row>
    <row r="34">
      <c r="A34" s="27" t="inlineStr">
        <is>
          <t>FACILITY_USE</t>
        </is>
      </c>
      <c r="B34" s="27" t="inlineStr">
        <is>
          <t>Facility used</t>
        </is>
      </c>
      <c r="D34" s="17">
        <f>MAX(0,-D33)</f>
        <v/>
      </c>
      <c r="E34" s="17">
        <f>MAX(0,-E33)</f>
        <v/>
      </c>
      <c r="F34" s="17">
        <f>MAX(0,-F33)</f>
        <v/>
      </c>
      <c r="G34" s="17">
        <f>MAX(0,-G33)</f>
        <v/>
      </c>
      <c r="H34" s="17">
        <f>MAX(0,-H33)</f>
        <v/>
      </c>
      <c r="I34" s="17">
        <f>MAX(0,-I33)</f>
        <v/>
      </c>
      <c r="J34" s="17">
        <f>MAX(0,-J33)</f>
        <v/>
      </c>
      <c r="K34" s="17">
        <f>MAX(0,-K33)</f>
        <v/>
      </c>
      <c r="L34" s="17">
        <f>MAX(0,-L33)</f>
        <v/>
      </c>
      <c r="M34" s="17">
        <f>MAX(0,-M33)</f>
        <v/>
      </c>
      <c r="N34" s="17">
        <f>MAX(0,-N33)</f>
        <v/>
      </c>
      <c r="O34" s="17">
        <f>MAX(0,-O33)</f>
        <v/>
      </c>
      <c r="P34" s="17">
        <f>MAX(0,-P33)</f>
        <v/>
      </c>
      <c r="Q34" s="17">
        <f>MAX(D34:P34)</f>
        <v/>
      </c>
    </row>
    <row r="35">
      <c r="A35" s="27" t="inlineStr">
        <is>
          <t>STATUS</t>
        </is>
      </c>
      <c r="B35" s="27" t="inlineStr">
        <is>
          <t>Status</t>
        </is>
      </c>
      <c r="D35" s="18">
        <f>IF(D33&gt;=0,"OK",IF(D34&lt;=$B$6,"LINE","BREACH"))</f>
        <v/>
      </c>
      <c r="E35" s="18">
        <f>IF(E33&gt;=0,"OK",IF(E34&lt;=$B$6,"LINE","BREACH"))</f>
        <v/>
      </c>
      <c r="F35" s="18">
        <f>IF(F33&gt;=0,"OK",IF(F34&lt;=$B$6,"LINE","BREACH"))</f>
        <v/>
      </c>
      <c r="G35" s="18">
        <f>IF(G33&gt;=0,"OK",IF(G34&lt;=$B$6,"LINE","BREACH"))</f>
        <v/>
      </c>
      <c r="H35" s="18">
        <f>IF(H33&gt;=0,"OK",IF(H34&lt;=$B$6,"LINE","BREACH"))</f>
        <v/>
      </c>
      <c r="I35" s="18">
        <f>IF(I33&gt;=0,"OK",IF(I34&lt;=$B$6,"LINE","BREACH"))</f>
        <v/>
      </c>
      <c r="J35" s="18">
        <f>IF(J33&gt;=0,"OK",IF(J34&lt;=$B$6,"LINE","BREACH"))</f>
        <v/>
      </c>
      <c r="K35" s="18">
        <f>IF(K33&gt;=0,"OK",IF(K34&lt;=$B$6,"LINE","BREACH"))</f>
        <v/>
      </c>
      <c r="L35" s="18">
        <f>IF(L33&gt;=0,"OK",IF(L34&lt;=$B$6,"LINE","BREACH"))</f>
        <v/>
      </c>
      <c r="M35" s="18">
        <f>IF(M33&gt;=0,"OK",IF(M34&lt;=$B$6,"LINE","BREACH"))</f>
        <v/>
      </c>
      <c r="N35" s="18">
        <f>IF(N33&gt;=0,"OK",IF(N34&lt;=$B$6,"LINE","BREACH"))</f>
        <v/>
      </c>
      <c r="O35" s="18">
        <f>IF(O33&gt;=0,"OK",IF(O34&lt;=$B$6,"LINE","BREACH"))</f>
        <v/>
      </c>
      <c r="P35" s="18">
        <f>IF(P33&gt;=0,"OK",IF(P34&lt;=$B$6,"LINE","BREACH"))</f>
        <v/>
      </c>
      <c r="Q35" s="18">
        <f>IF(COUNTIF(D35:P35,"BREACH")&gt;0,"BREACH",IF(COUNTIF(D35:P35,"LINE")&gt;0,"LINE","OK"))</f>
        <v/>
      </c>
    </row>
    <row r="37">
      <c r="A37" s="19" t="inlineStr">
        <is>
          <t>מקרא הקודים</t>
        </is>
      </c>
    </row>
    <row r="38">
      <c r="A38" s="6" t="inlineStr">
        <is>
          <t>UP</t>
        </is>
      </c>
      <c r="B38" s="12" t="inlineStr">
        <is>
          <t>אופטימי, 110% מהתקבולים</t>
        </is>
      </c>
    </row>
    <row r="39">
      <c r="A39" s="6" t="inlineStr">
        <is>
          <t>BASE</t>
        </is>
      </c>
      <c r="B39" s="12" t="inlineStr">
        <is>
          <t>בסיס, 100%</t>
        </is>
      </c>
    </row>
    <row r="40">
      <c r="A40" s="6" t="inlineStr">
        <is>
          <t>DOWN</t>
        </is>
      </c>
      <c r="B40" s="12" t="inlineStr">
        <is>
          <t>פסימי: רק שורות בדירוג ודאות 4 ומעלה, ו-85% מהסכום</t>
        </is>
      </c>
    </row>
    <row r="41">
      <c r="A41" s="6" t="inlineStr">
        <is>
          <t>OK</t>
        </is>
      </c>
      <c r="B41" s="12" t="inlineStr">
        <is>
          <t>יתרה חיובית</t>
        </is>
      </c>
    </row>
    <row r="42">
      <c r="A42" s="6" t="inlineStr">
        <is>
          <t>LINE</t>
        </is>
      </c>
      <c r="B42" s="12" t="inlineStr">
        <is>
          <t>שימוש במסגרת האשראי</t>
        </is>
      </c>
    </row>
    <row r="43">
      <c r="A43" s="6" t="inlineStr">
        <is>
          <t>BREACH</t>
        </is>
      </c>
      <c r="B43" s="12" t="inlineStr">
        <is>
          <t>חריגה מהמסגרת</t>
        </is>
      </c>
    </row>
    <row r="45">
      <c r="A45" s="15" t="inlineStr">
        <is>
          <t>שימו לב שבשבוע 6 נופלים באותו שבוע גם מע"מ וגם מקדמות. זה לוח הזמנים החוקי ולא מקרה. תזרים שלא מכיל את לוח תשלומי המס אינו תזרים אלא משאלה.</t>
        </is>
      </c>
    </row>
    <row r="46">
      <c r="A46" s="15" t="inlineStr">
        <is>
          <t>שורת משיכת הבעלים בדירוג ודאות 2 היא הידית הגמישה ביותר במודל. דחיית משיכה בחודשיים היא לרוב ההבדל בין חריגה לשימוש רגיל במסגרת, ובמקביל היא משנה את חשיפת סעיף 3(ט1).</t>
        </is>
      </c>
    </row>
    <row r="47">
      <c r="A47" s="15" t="inlineStr">
        <is>
          <t>הגרף למטה מצייר את יתרת הסגירה השבועית. ברגע שתמלאו את השורות, השבוע שנשבר יקפוץ לעין לפני שתספיקו לקרוא מספר אחד.</t>
        </is>
      </c>
    </row>
  </sheetData>
  <mergeCells count="2">
    <mergeCell ref="A2:Q2"/>
    <mergeCell ref="A1:Q1"/>
  </mergeCells>
  <conditionalFormatting sqref="D33">
    <cfRule type="cellIs" priority="1" operator="lessThan" dxfId="0">
      <formula>0</formula>
    </cfRule>
  </conditionalFormatting>
  <conditionalFormatting sqref="E33">
    <cfRule type="cellIs" priority="2" operator="lessThan" dxfId="0">
      <formula>0</formula>
    </cfRule>
  </conditionalFormatting>
  <conditionalFormatting sqref="F33">
    <cfRule type="cellIs" priority="3" operator="lessThan" dxfId="0">
      <formula>0</formula>
    </cfRule>
  </conditionalFormatting>
  <conditionalFormatting sqref="G33">
    <cfRule type="cellIs" priority="4" operator="lessThan" dxfId="0">
      <formula>0</formula>
    </cfRule>
  </conditionalFormatting>
  <conditionalFormatting sqref="H33">
    <cfRule type="cellIs" priority="5" operator="lessThan" dxfId="0">
      <formula>0</formula>
    </cfRule>
  </conditionalFormatting>
  <conditionalFormatting sqref="I33">
    <cfRule type="cellIs" priority="6" operator="lessThan" dxfId="0">
      <formula>0</formula>
    </cfRule>
  </conditionalFormatting>
  <conditionalFormatting sqref="J33">
    <cfRule type="cellIs" priority="7" operator="lessThan" dxfId="0">
      <formula>0</formula>
    </cfRule>
  </conditionalFormatting>
  <conditionalFormatting sqref="K33">
    <cfRule type="cellIs" priority="8" operator="lessThan" dxfId="0">
      <formula>0</formula>
    </cfRule>
  </conditionalFormatting>
  <conditionalFormatting sqref="L33">
    <cfRule type="cellIs" priority="9" operator="lessThan" dxfId="0">
      <formula>0</formula>
    </cfRule>
  </conditionalFormatting>
  <conditionalFormatting sqref="M33">
    <cfRule type="cellIs" priority="10" operator="lessThan" dxfId="0">
      <formula>0</formula>
    </cfRule>
  </conditionalFormatting>
  <conditionalFormatting sqref="N33">
    <cfRule type="cellIs" priority="11" operator="lessThan" dxfId="0">
      <formula>0</formula>
    </cfRule>
  </conditionalFormatting>
  <conditionalFormatting sqref="O33">
    <cfRule type="cellIs" priority="12" operator="lessThan" dxfId="0">
      <formula>0</formula>
    </cfRule>
  </conditionalFormatting>
  <conditionalFormatting sqref="P33">
    <cfRule type="cellIs" priority="13" operator="lessThan" dxfId="0">
      <formula>0</formula>
    </cfRule>
  </conditionalFormatting>
  <dataValidations count="1">
    <dataValidation sqref="B4" showDropDown="0" showInputMessage="0" showErrorMessage="0" allowBlank="0" type="list">
      <formula1>"UP,BASE,DOWN"</formula1>
    </dataValidation>
  </dataValidation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P26"/>
  <sheetViews>
    <sheetView rightToLeft="1"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4" customWidth="1" min="14" max="14"/>
  </cols>
  <sheetData>
    <row r="1" ht="32" customHeight="1">
      <c r="A1" s="1" t="inlineStr">
        <is>
          <t>Lab 6 · תחזית מתגלגלת 3+9 / 4+8</t>
        </is>
      </c>
    </row>
    <row r="2" ht="18" customHeight="1">
      <c r="A2" s="2" t="inlineStr">
        <is>
          <t>תקציב שנקבע בדצמבר מתיישן אחרי רבעון. תחזית מתגלגלת מחליפה תקציב באקטואל ככל שהשנה מתקדמת.</t>
        </is>
      </c>
    </row>
    <row r="4">
      <c r="A4" s="3" t="inlineStr">
        <is>
          <t>ClosedMonths (חודשי אקטואל שנסגרו):</t>
        </is>
      </c>
      <c r="D4" s="28" t="n">
        <v>6</v>
      </c>
      <c r="F4" s="15" t="inlineStr">
        <is>
          <t>שנו ל-3 בשביל 3+9, ל-4 בשביל 4+8, ל-6 בשביל חצי שנה.</t>
        </is>
      </c>
    </row>
    <row r="5">
      <c r="A5" s="3" t="inlineStr">
        <is>
          <t>AdjFactor (מקדם תיקון ליתרת השנה):</t>
        </is>
      </c>
      <c r="D5" s="29" t="n">
        <v>1</v>
      </c>
      <c r="F5" s="15" t="inlineStr">
        <is>
          <t>1.00 ממשיכים לפי התקציב. 0.95 מורידים חמישה אחוזים לחודשים שנותרו. זו ההחלטה הניהולית היחידה במודל.</t>
        </is>
      </c>
    </row>
    <row r="8" ht="28" customHeight="1">
      <c r="A8" s="9" t="inlineStr">
        <is>
          <t>Row</t>
        </is>
      </c>
      <c r="B8" s="9" t="inlineStr">
        <is>
          <t>Jan</t>
        </is>
      </c>
      <c r="C8" s="9" t="inlineStr">
        <is>
          <t>Feb</t>
        </is>
      </c>
      <c r="D8" s="9" t="inlineStr">
        <is>
          <t>Mar</t>
        </is>
      </c>
      <c r="E8" s="9" t="inlineStr">
        <is>
          <t>Apr</t>
        </is>
      </c>
      <c r="F8" s="9" t="inlineStr">
        <is>
          <t>May</t>
        </is>
      </c>
      <c r="G8" s="9" t="inlineStr">
        <is>
          <t>Jun</t>
        </is>
      </c>
      <c r="H8" s="9" t="inlineStr">
        <is>
          <t>Jul</t>
        </is>
      </c>
      <c r="I8" s="9" t="inlineStr">
        <is>
          <t>Aug</t>
        </is>
      </c>
      <c r="J8" s="9" t="inlineStr">
        <is>
          <t>Sep</t>
        </is>
      </c>
      <c r="K8" s="9" t="inlineStr">
        <is>
          <t>Oct</t>
        </is>
      </c>
      <c r="L8" s="9" t="inlineStr">
        <is>
          <t>Nov</t>
        </is>
      </c>
      <c r="M8" s="9" t="inlineStr">
        <is>
          <t>Dec</t>
        </is>
      </c>
      <c r="N8" s="9" t="inlineStr">
        <is>
          <t>FY Total</t>
        </is>
      </c>
    </row>
    <row r="9">
      <c r="A9" s="30" t="inlineStr">
        <is>
          <t>BUDGET_LOCKED · Original budget, locked</t>
        </is>
      </c>
      <c r="B9" s="17">
        <f>SUMIFS(BUDGET[Budget],BUDGET[Grp],"REVENUE",BUDGET[Month],COLUMN()-1)</f>
        <v/>
      </c>
      <c r="C9" s="17">
        <f>SUMIFS(BUDGET[Budget],BUDGET[Grp],"REVENUE",BUDGET[Month],COLUMN()-1)</f>
        <v/>
      </c>
      <c r="D9" s="17">
        <f>SUMIFS(BUDGET[Budget],BUDGET[Grp],"REVENUE",BUDGET[Month],COLUMN()-1)</f>
        <v/>
      </c>
      <c r="E9" s="17">
        <f>SUMIFS(BUDGET[Budget],BUDGET[Grp],"REVENUE",BUDGET[Month],COLUMN()-1)</f>
        <v/>
      </c>
      <c r="F9" s="17">
        <f>SUMIFS(BUDGET[Budget],BUDGET[Grp],"REVENUE",BUDGET[Month],COLUMN()-1)</f>
        <v/>
      </c>
      <c r="G9" s="17">
        <f>SUMIFS(BUDGET[Budget],BUDGET[Grp],"REVENUE",BUDGET[Month],COLUMN()-1)</f>
        <v/>
      </c>
      <c r="H9" s="17">
        <f>SUMIFS(BUDGET[Budget],BUDGET[Grp],"REVENUE",BUDGET[Month],COLUMN()-1)</f>
        <v/>
      </c>
      <c r="I9" s="17">
        <f>SUMIFS(BUDGET[Budget],BUDGET[Grp],"REVENUE",BUDGET[Month],COLUMN()-1)</f>
        <v/>
      </c>
      <c r="J9" s="17">
        <f>SUMIFS(BUDGET[Budget],BUDGET[Grp],"REVENUE",BUDGET[Month],COLUMN()-1)</f>
        <v/>
      </c>
      <c r="K9" s="17">
        <f>SUMIFS(BUDGET[Budget],BUDGET[Grp],"REVENUE",BUDGET[Month],COLUMN()-1)</f>
        <v/>
      </c>
      <c r="L9" s="17">
        <f>SUMIFS(BUDGET[Budget],BUDGET[Grp],"REVENUE",BUDGET[Month],COLUMN()-1)</f>
        <v/>
      </c>
      <c r="M9" s="17">
        <f>SUMIFS(BUDGET[Budget],BUDGET[Grp],"REVENUE",BUDGET[Month],COLUMN()-1)</f>
        <v/>
      </c>
      <c r="N9" s="17">
        <f>SUM(B9:M9)</f>
        <v/>
      </c>
    </row>
    <row r="10">
      <c r="A10" s="30" t="inlineStr">
        <is>
          <t>ACTUAL · Actual</t>
        </is>
      </c>
      <c r="B10" s="17">
        <f>IF(COLUMN()-1&lt;=$D$4,SUMIFS(GL[Amount],GL[Grp],"REVENUE",GL[Month],COLUMN()-1),"")</f>
        <v/>
      </c>
      <c r="C10" s="17">
        <f>IF(COLUMN()-1&lt;=$D$4,SUMIFS(GL[Amount],GL[Grp],"REVENUE",GL[Month],COLUMN()-1),"")</f>
        <v/>
      </c>
      <c r="D10" s="17">
        <f>IF(COLUMN()-1&lt;=$D$4,SUMIFS(GL[Amount],GL[Grp],"REVENUE",GL[Month],COLUMN()-1),"")</f>
        <v/>
      </c>
      <c r="E10" s="17">
        <f>IF(COLUMN()-1&lt;=$D$4,SUMIFS(GL[Amount],GL[Grp],"REVENUE",GL[Month],COLUMN()-1),"")</f>
        <v/>
      </c>
      <c r="F10" s="17">
        <f>IF(COLUMN()-1&lt;=$D$4,SUMIFS(GL[Amount],GL[Grp],"REVENUE",GL[Month],COLUMN()-1),"")</f>
        <v/>
      </c>
      <c r="G10" s="17">
        <f>IF(COLUMN()-1&lt;=$D$4,SUMIFS(GL[Amount],GL[Grp],"REVENUE",GL[Month],COLUMN()-1),"")</f>
        <v/>
      </c>
      <c r="H10" s="17">
        <f>IF(COLUMN()-1&lt;=$D$4,SUMIFS(GL[Amount],GL[Grp],"REVENUE",GL[Month],COLUMN()-1),"")</f>
        <v/>
      </c>
      <c r="I10" s="17">
        <f>IF(COLUMN()-1&lt;=$D$4,SUMIFS(GL[Amount],GL[Grp],"REVENUE",GL[Month],COLUMN()-1),"")</f>
        <v/>
      </c>
      <c r="J10" s="17">
        <f>IF(COLUMN()-1&lt;=$D$4,SUMIFS(GL[Amount],GL[Grp],"REVENUE",GL[Month],COLUMN()-1),"")</f>
        <v/>
      </c>
      <c r="K10" s="17">
        <f>IF(COLUMN()-1&lt;=$D$4,SUMIFS(GL[Amount],GL[Grp],"REVENUE",GL[Month],COLUMN()-1),"")</f>
        <v/>
      </c>
      <c r="L10" s="17">
        <f>IF(COLUMN()-1&lt;=$D$4,SUMIFS(GL[Amount],GL[Grp],"REVENUE",GL[Month],COLUMN()-1),"")</f>
        <v/>
      </c>
      <c r="M10" s="17">
        <f>IF(COLUMN()-1&lt;=$D$4,SUMIFS(GL[Amount],GL[Grp],"REVENUE",GL[Month],COLUMN()-1),"")</f>
        <v/>
      </c>
      <c r="N10" s="17">
        <f>SUM(B10:M10)</f>
        <v/>
      </c>
    </row>
    <row r="11">
      <c r="A11" s="27" t="inlineStr">
        <is>
          <t>FORECAST · Rolling forecast</t>
        </is>
      </c>
      <c r="B11" s="17">
        <f>IF(COLUMN()-1&lt;=$D$4,B10,B9*$D$5)</f>
        <v/>
      </c>
      <c r="C11" s="17">
        <f>IF(COLUMN()-1&lt;=$D$4,C10,C9*$D$5)</f>
        <v/>
      </c>
      <c r="D11" s="17">
        <f>IF(COLUMN()-1&lt;=$D$4,D10,D9*$D$5)</f>
        <v/>
      </c>
      <c r="E11" s="17">
        <f>IF(COLUMN()-1&lt;=$D$4,E10,E9*$D$5)</f>
        <v/>
      </c>
      <c r="F11" s="17">
        <f>IF(COLUMN()-1&lt;=$D$4,F10,F9*$D$5)</f>
        <v/>
      </c>
      <c r="G11" s="17">
        <f>IF(COLUMN()-1&lt;=$D$4,G10,G9*$D$5)</f>
        <v/>
      </c>
      <c r="H11" s="17">
        <f>IF(COLUMN()-1&lt;=$D$4,H10,H9*$D$5)</f>
        <v/>
      </c>
      <c r="I11" s="17">
        <f>IF(COLUMN()-1&lt;=$D$4,I10,I9*$D$5)</f>
        <v/>
      </c>
      <c r="J11" s="17">
        <f>IF(COLUMN()-1&lt;=$D$4,J10,J9*$D$5)</f>
        <v/>
      </c>
      <c r="K11" s="17">
        <f>IF(COLUMN()-1&lt;=$D$4,K10,K9*$D$5)</f>
        <v/>
      </c>
      <c r="L11" s="17">
        <f>IF(COLUMN()-1&lt;=$D$4,L10,L9*$D$5)</f>
        <v/>
      </c>
      <c r="M11" s="17">
        <f>IF(COLUMN()-1&lt;=$D$4,M10,M9*$D$5)</f>
        <v/>
      </c>
      <c r="N11" s="17">
        <f>SUM(B11:M11)</f>
        <v/>
      </c>
    </row>
    <row r="12">
      <c r="A12" s="27" t="inlineStr">
        <is>
          <t>GAP · Forecast vs budget gap</t>
        </is>
      </c>
      <c r="B12" s="17">
        <f>B11-B9</f>
        <v/>
      </c>
      <c r="C12" s="17">
        <f>C11-C9</f>
        <v/>
      </c>
      <c r="D12" s="17">
        <f>D11-D9</f>
        <v/>
      </c>
      <c r="E12" s="17">
        <f>E11-E9</f>
        <v/>
      </c>
      <c r="F12" s="17">
        <f>F11-F9</f>
        <v/>
      </c>
      <c r="G12" s="17">
        <f>G11-G9</f>
        <v/>
      </c>
      <c r="H12" s="17">
        <f>H11-H9</f>
        <v/>
      </c>
      <c r="I12" s="17">
        <f>I11-I9</f>
        <v/>
      </c>
      <c r="J12" s="17">
        <f>J11-J9</f>
        <v/>
      </c>
      <c r="K12" s="17">
        <f>K11-K9</f>
        <v/>
      </c>
      <c r="L12" s="17">
        <f>L11-L9</f>
        <v/>
      </c>
      <c r="M12" s="17">
        <f>M11-M9</f>
        <v/>
      </c>
      <c r="N12" s="17">
        <f>N11-N9</f>
        <v/>
      </c>
    </row>
    <row r="13">
      <c r="A13" s="27" t="inlineStr">
        <is>
          <t>GAP_PCT · Gap percent</t>
        </is>
      </c>
      <c r="B13" s="42">
        <f>IFERROR(B12/B9,0)</f>
        <v/>
      </c>
      <c r="C13" s="42">
        <f>IFERROR(C12/C9,0)</f>
        <v/>
      </c>
      <c r="D13" s="42">
        <f>IFERROR(D12/D9,0)</f>
        <v/>
      </c>
      <c r="E13" s="42">
        <f>IFERROR(E12/E9,0)</f>
        <v/>
      </c>
      <c r="F13" s="42">
        <f>IFERROR(F12/F9,0)</f>
        <v/>
      </c>
      <c r="G13" s="42">
        <f>IFERROR(G12/G9,0)</f>
        <v/>
      </c>
      <c r="H13" s="42">
        <f>IFERROR(H12/H9,0)</f>
        <v/>
      </c>
      <c r="I13" s="42">
        <f>IFERROR(I12/I9,0)</f>
        <v/>
      </c>
      <c r="J13" s="42">
        <f>IFERROR(J12/J9,0)</f>
        <v/>
      </c>
      <c r="K13" s="42">
        <f>IFERROR(K12/K9,0)</f>
        <v/>
      </c>
      <c r="L13" s="42">
        <f>IFERROR(L12/L9,0)</f>
        <v/>
      </c>
      <c r="M13" s="42">
        <f>IFERROR(M12/M9,0)</f>
        <v/>
      </c>
      <c r="N13" s="42">
        <f>IFERROR(N12/N9,0)</f>
        <v/>
      </c>
    </row>
    <row r="16">
      <c r="A16" s="19" t="inlineStr">
        <is>
          <t>מה זה אומר לניהול</t>
        </is>
      </c>
    </row>
    <row r="17">
      <c r="A17" s="3" t="inlineStr">
        <is>
          <t>תחזית שנתית מעודכנת</t>
        </is>
      </c>
      <c r="C17" s="17">
        <f>N11</f>
        <v/>
      </c>
    </row>
    <row r="18">
      <c r="A18" s="3" t="inlineStr">
        <is>
          <t>קו בסיס שנתי מקורי</t>
        </is>
      </c>
      <c r="C18" s="17">
        <f>N9</f>
        <v/>
      </c>
    </row>
    <row r="19">
      <c r="A19" s="3" t="inlineStr">
        <is>
          <t>פער שנתי צפוי</t>
        </is>
      </c>
      <c r="C19" s="17">
        <f>N11-N9</f>
        <v/>
      </c>
    </row>
    <row r="20">
      <c r="A20" s="3" t="inlineStr">
        <is>
          <t>האם צפויה עמידה ביעד</t>
        </is>
      </c>
      <c r="C20" s="18">
        <f>IF(N11&gt;=N9,"ON_TRACK","ACTION_NEEDED")</f>
        <v/>
      </c>
    </row>
    <row r="22">
      <c r="A22" s="19" t="inlineStr">
        <is>
          <t>מקרא הקודים</t>
        </is>
      </c>
    </row>
    <row r="23">
      <c r="A23" s="6" t="inlineStr">
        <is>
          <t>ON_TRACK</t>
        </is>
      </c>
      <c r="B23" s="12" t="inlineStr">
        <is>
          <t>התחזית עומדת בקו הבסיס</t>
        </is>
      </c>
    </row>
    <row r="24">
      <c r="A24" s="6" t="inlineStr">
        <is>
          <t>ACTION_NEEDED</t>
        </is>
      </c>
      <c r="B24" s="12" t="inlineStr">
        <is>
          <t>התחזית מתחת לקו הבסיס, נדרשת פעולה</t>
        </is>
      </c>
    </row>
    <row r="26">
      <c r="A26" s="15" t="inlineStr">
        <is>
          <t>ברגע שיש תחזית שנתית מעודכנת אפשר לחשב מקדמות נכונות ולהגיש בקשה להקטנת מקדמות לפי סעיף 175 אם התחזית נמוכה מהמחזור שעליו נקבע המקדם. זה הכסף הכי זול שמשרד רואה חשבון יכול לחסוך ללקוח, והוא זמין רק למי שיש לו תחזית.</t>
        </is>
      </c>
    </row>
  </sheetData>
  <mergeCells count="2">
    <mergeCell ref="A1:P1"/>
    <mergeCell ref="A2:P2"/>
  </mergeCells>
  <dataValidations count="1">
    <dataValidation sqref="D4" showDropDown="0" showInputMessage="0" showErrorMessage="0" allowBlank="0" type="whole" operator="between">
      <formula1>1</formula1>
      <formula2>12</formula2>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26"/>
  <sheetViews>
    <sheetView rightToLeft="1" workbookViewId="0">
      <selection activeCell="A1" sqref="A1"/>
    </sheetView>
  </sheetViews>
  <sheetFormatPr baseColWidth="8" defaultRowHeight="15"/>
  <cols>
    <col width="46" customWidth="1" min="1" max="1"/>
    <col width="18" customWidth="1" min="2" max="2"/>
  </cols>
  <sheetData>
    <row r="1" ht="32" customHeight="1">
      <c r="A1" s="1" t="inlineStr">
        <is>
          <t>ארגז הכלים · כמה עולה לתת ללקוח תנאי תשלום ארוכים</t>
        </is>
      </c>
    </row>
    <row r="2" ht="18" customHeight="1">
      <c r="A2" s="2" t="inlineStr">
        <is>
          <t>מגיע מוכן ועובד. לא נבנה בכיתה. שנו רק את התאים בקרם.</t>
        </is>
      </c>
    </row>
    <row r="3">
      <c r="A3" s="15" t="inlineStr">
        <is>
          <t>לקוח שמבקש שוטף פלוס 90 במקום שוטף פלוס 30 לא מבקש הנחה, אבל הוא לוקח מכם כסף. הכלי מתרגם את הבקשה לשקלים, וגם אומר איזו הנחה כדאי להציע לו תמורת תשלום מיידי.</t>
        </is>
      </c>
    </row>
    <row r="5">
      <c r="A5" s="19" t="inlineStr">
        <is>
          <t>הנתונים שאתם מזינים</t>
        </is>
      </c>
    </row>
    <row r="6">
      <c r="A6" s="3" t="inlineStr">
        <is>
          <t>מחזור שנתי מהלקוח הזה</t>
        </is>
      </c>
      <c r="B6" s="31" t="n">
        <v>1800000</v>
      </c>
    </row>
    <row r="7">
      <c r="A7" s="3" t="inlineStr">
        <is>
          <t>תנאי התשלום היום, ימים</t>
        </is>
      </c>
      <c r="B7" s="31" t="n">
        <v>30</v>
      </c>
    </row>
    <row r="8">
      <c r="A8" s="3" t="inlineStr">
        <is>
          <t>תנאי התשלום המבוקשים, ימים</t>
        </is>
      </c>
      <c r="B8" s="31" t="n">
        <v>90</v>
      </c>
    </row>
    <row r="9">
      <c r="A9" s="3" t="inlineStr">
        <is>
          <t>ריבית האשראי הבנקאי שלכם, שנתי</t>
        </is>
      </c>
      <c r="B9" s="45" t="n">
        <v>0.08</v>
      </c>
    </row>
    <row r="10">
      <c r="A10" s="3" t="inlineStr">
        <is>
          <t>שיעור הרווח הגולמי על הלקוח הזה</t>
        </is>
      </c>
      <c r="B10" s="45" t="n">
        <v>0.35</v>
      </c>
    </row>
    <row r="12">
      <c r="A12" s="19" t="inlineStr">
        <is>
          <t>מה זה אומר</t>
        </is>
      </c>
    </row>
    <row r="13">
      <c r="A13" s="3" t="inlineStr">
        <is>
          <t>מחזור יומי מהלקוח</t>
        </is>
      </c>
      <c r="B13" s="33">
        <f>B6/365</f>
        <v/>
      </c>
    </row>
    <row r="14">
      <c r="A14" s="3" t="inlineStr">
        <is>
          <t>כסף שתפוס אצלו היום</t>
        </is>
      </c>
      <c r="B14" s="33">
        <f>B13*B7</f>
        <v/>
      </c>
    </row>
    <row r="15">
      <c r="A15" s="3" t="inlineStr">
        <is>
          <t>כסף שיהיה תפוס אצלו בתנאים החדשים</t>
        </is>
      </c>
      <c r="B15" s="33">
        <f>B13*B8</f>
        <v/>
      </c>
    </row>
    <row r="16">
      <c r="A16" s="3" t="inlineStr">
        <is>
          <t>תוספת המימון שאתם נותנים לו</t>
        </is>
      </c>
      <c r="B16" s="33">
        <f>B15-B14</f>
        <v/>
      </c>
    </row>
    <row r="17">
      <c r="A17" s="3" t="inlineStr">
        <is>
          <t>כמה זה עולה לכם בשנה</t>
        </is>
      </c>
      <c r="B17" s="33">
        <f>B16*B9</f>
        <v/>
      </c>
    </row>
    <row r="18">
      <c r="A18" s="3" t="inlineStr">
        <is>
          <t>העלות כאחוז מהמחזור מהלקוח</t>
        </is>
      </c>
      <c r="B18" s="46">
        <f>B17/B6</f>
        <v/>
      </c>
    </row>
    <row r="19">
      <c r="A19" s="3" t="inlineStr">
        <is>
          <t>העלות ככרסום ברווח הגולמי מהלקוח</t>
        </is>
      </c>
      <c r="B19" s="46">
        <f>B17/(B6*B10)</f>
        <v/>
      </c>
    </row>
    <row r="20">
      <c r="A20" s="3" t="inlineStr">
        <is>
          <t>ההנחה המקסימלית ששווה לתת עבור תשלום מיידי</t>
        </is>
      </c>
      <c r="B20" s="46">
        <f>(B7/365)*B9</f>
        <v/>
      </c>
    </row>
    <row r="21">
      <c r="A21" s="3" t="inlineStr">
        <is>
          <t>ובשקלים, על המחזור מהלקוח</t>
        </is>
      </c>
      <c r="B21" s="33">
        <f>B20*B6</f>
        <v/>
      </c>
    </row>
    <row r="23">
      <c r="A23" s="15" t="inlineStr">
        <is>
          <t>שורה 16 היא הכסף שתעבירו ללקוח בלי לקרוא לזה הלוואה. שורה 17 היא כמה זה עולה לכם בשנה, בהנחה שהפער ממומן באשראי בנקאי.</t>
        </is>
      </c>
    </row>
    <row r="24">
      <c r="A24" s="15" t="inlineStr">
        <is>
          <t>שורה 19 היא המספר שמשכנע: כמה אחוזים מהרווח הגולמי על הלקוח הזה נאכלים רק בגלל תנאי התשלום.</t>
        </is>
      </c>
    </row>
    <row r="25">
      <c r="A25" s="15" t="inlineStr">
        <is>
          <t>שורה 20 היא הכלי המסחרי: אם ההנחה שהלקוח מבקש תמורת תשלום מיידי קטנה מהמספר הזה, כדאי לתת אותה. אם גדולה, עדיף לממן.</t>
        </is>
      </c>
    </row>
    <row r="26">
      <c r="A26" s="15" t="inlineStr">
        <is>
          <t>הכלי מניח שהפער ממומן באשראי. אם יש לכם מזומן פנוי, השתמשו בתשואה החלופית שלכם במקום בריבית הבנקאית.</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3"/>
  <sheetViews>
    <sheetView rightToLeft="1" workbookViewId="0">
      <selection activeCell="A1" sqref="A1"/>
    </sheetView>
  </sheetViews>
  <sheetFormatPr baseColWidth="8" defaultRowHeight="15"/>
  <cols>
    <col width="14" customWidth="1" min="1" max="1"/>
    <col width="28" customWidth="1" min="2" max="2"/>
    <col width="7"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4" customWidth="1" min="17" max="17"/>
  </cols>
  <sheetData>
    <row r="1" ht="32" customHeight="1">
      <c r="A1" s="1" t="inlineStr">
        <is>
          <t>ארגז הכלים · תבנית תזרים 13 שבועות ריקה</t>
        </is>
      </c>
    </row>
    <row r="2" ht="18" customHeight="1">
      <c r="A2" s="2" t="inlineStr">
        <is>
          <t>אותו מנוע של מעבדה 5, בלי נתונים. הנוסחאות כבר בפנים.</t>
        </is>
      </c>
    </row>
    <row r="3">
      <c r="A3" s="15" t="inlineStr">
        <is>
          <t>הוראות: כתבו שמות שורות בעמודה B, דרגו ודאות 1 עד 5 בעמודה C, והזינו סכומים. תקבולים כמספר חיובי, תשלומים כמספר שלילי. שורות הסיכום מחשבות לבד.</t>
        </is>
      </c>
    </row>
    <row r="5">
      <c r="A5" s="3" t="inlineStr">
        <is>
          <t>Scenario:</t>
        </is>
      </c>
      <c r="B5" s="20" t="inlineStr">
        <is>
          <t>BASE</t>
        </is>
      </c>
    </row>
    <row r="6">
      <c r="A6" s="3" t="inlineStr">
        <is>
          <t>Opening:</t>
        </is>
      </c>
      <c r="B6" s="26" t="n">
        <v>0</v>
      </c>
    </row>
    <row r="7">
      <c r="A7" s="3" t="inlineStr">
        <is>
          <t>Facility:</t>
        </is>
      </c>
      <c r="B7" s="26" t="n">
        <v>0</v>
      </c>
    </row>
    <row r="10" ht="28" customHeight="1">
      <c r="A10" s="9" t="inlineStr">
        <is>
          <t>Line</t>
        </is>
      </c>
      <c r="B10" s="9" t="inlineStr">
        <is>
          <t>LineName</t>
        </is>
      </c>
      <c r="C10" s="9" t="inlineStr">
        <is>
          <t>Conf</t>
        </is>
      </c>
      <c r="D10" s="9" t="inlineStr">
        <is>
          <t>W1</t>
        </is>
      </c>
      <c r="E10" s="9" t="inlineStr">
        <is>
          <t>W2</t>
        </is>
      </c>
      <c r="F10" s="9" t="inlineStr">
        <is>
          <t>W3</t>
        </is>
      </c>
      <c r="G10" s="9" t="inlineStr">
        <is>
          <t>W4</t>
        </is>
      </c>
      <c r="H10" s="9" t="inlineStr">
        <is>
          <t>W5</t>
        </is>
      </c>
      <c r="I10" s="9" t="inlineStr">
        <is>
          <t>W6</t>
        </is>
      </c>
      <c r="J10" s="9" t="inlineStr">
        <is>
          <t>W7</t>
        </is>
      </c>
      <c r="K10" s="9" t="inlineStr">
        <is>
          <t>W8</t>
        </is>
      </c>
      <c r="L10" s="9" t="inlineStr">
        <is>
          <t>W9</t>
        </is>
      </c>
      <c r="M10" s="9" t="inlineStr">
        <is>
          <t>W10</t>
        </is>
      </c>
      <c r="N10" s="9" t="inlineStr">
        <is>
          <t>W11</t>
        </is>
      </c>
      <c r="O10" s="9" t="inlineStr">
        <is>
          <t>W12</t>
        </is>
      </c>
      <c r="P10" s="9" t="inlineStr">
        <is>
          <t>W13</t>
        </is>
      </c>
      <c r="Q10" s="9" t="inlineStr">
        <is>
          <t>Total</t>
        </is>
      </c>
    </row>
    <row r="11">
      <c r="A11" s="35" t="n"/>
      <c r="B11" s="35" t="n"/>
      <c r="C11" s="35" t="n"/>
      <c r="D11" s="31" t="n"/>
      <c r="E11" s="31" t="n"/>
      <c r="F11" s="31" t="n"/>
      <c r="G11" s="31" t="n"/>
      <c r="H11" s="31" t="n"/>
      <c r="I11" s="31" t="n"/>
      <c r="J11" s="31" t="n"/>
      <c r="K11" s="31" t="n"/>
      <c r="L11" s="31" t="n"/>
      <c r="M11" s="31" t="n"/>
      <c r="N11" s="31" t="n"/>
      <c r="O11" s="31" t="n"/>
      <c r="P11" s="31" t="n"/>
      <c r="Q11" s="31" t="n"/>
    </row>
    <row r="12">
      <c r="A12" s="35" t="n"/>
      <c r="B12" s="35" t="n"/>
      <c r="C12" s="35" t="n"/>
      <c r="D12" s="31" t="n"/>
      <c r="E12" s="31" t="n"/>
      <c r="F12" s="31" t="n"/>
      <c r="G12" s="31" t="n"/>
      <c r="H12" s="31" t="n"/>
      <c r="I12" s="31" t="n"/>
      <c r="J12" s="31" t="n"/>
      <c r="K12" s="31" t="n"/>
      <c r="L12" s="31" t="n"/>
      <c r="M12" s="31" t="n"/>
      <c r="N12" s="31" t="n"/>
      <c r="O12" s="31" t="n"/>
      <c r="P12" s="31" t="n"/>
      <c r="Q12" s="31" t="n"/>
    </row>
    <row r="13">
      <c r="A13" s="35" t="n"/>
      <c r="B13" s="35" t="n"/>
      <c r="C13" s="35" t="n"/>
      <c r="D13" s="31" t="n"/>
      <c r="E13" s="31" t="n"/>
      <c r="F13" s="31" t="n"/>
      <c r="G13" s="31" t="n"/>
      <c r="H13" s="31" t="n"/>
      <c r="I13" s="31" t="n"/>
      <c r="J13" s="31" t="n"/>
      <c r="K13" s="31" t="n"/>
      <c r="L13" s="31" t="n"/>
      <c r="M13" s="31" t="n"/>
      <c r="N13" s="31" t="n"/>
      <c r="O13" s="31" t="n"/>
      <c r="P13" s="31" t="n"/>
      <c r="Q13" s="31" t="n"/>
    </row>
    <row r="14">
      <c r="A14" s="35" t="n"/>
      <c r="B14" s="35" t="n"/>
      <c r="C14" s="35" t="n"/>
      <c r="D14" s="31" t="n"/>
      <c r="E14" s="31" t="n"/>
      <c r="F14" s="31" t="n"/>
      <c r="G14" s="31" t="n"/>
      <c r="H14" s="31" t="n"/>
      <c r="I14" s="31" t="n"/>
      <c r="J14" s="31" t="n"/>
      <c r="K14" s="31" t="n"/>
      <c r="L14" s="31" t="n"/>
      <c r="M14" s="31" t="n"/>
      <c r="N14" s="31" t="n"/>
      <c r="O14" s="31" t="n"/>
      <c r="P14" s="31" t="n"/>
      <c r="Q14" s="31" t="n"/>
    </row>
    <row r="15">
      <c r="A15" s="35" t="n"/>
      <c r="B15" s="35" t="n"/>
      <c r="C15" s="35" t="n"/>
      <c r="D15" s="31" t="n"/>
      <c r="E15" s="31" t="n"/>
      <c r="F15" s="31" t="n"/>
      <c r="G15" s="31" t="n"/>
      <c r="H15" s="31" t="n"/>
      <c r="I15" s="31" t="n"/>
      <c r="J15" s="31" t="n"/>
      <c r="K15" s="31" t="n"/>
      <c r="L15" s="31" t="n"/>
      <c r="M15" s="31" t="n"/>
      <c r="N15" s="31" t="n"/>
      <c r="O15" s="31" t="n"/>
      <c r="P15" s="31" t="n"/>
      <c r="Q15" s="31" t="n"/>
    </row>
    <row r="16">
      <c r="A16" s="35" t="n"/>
      <c r="B16" s="35" t="n"/>
      <c r="C16" s="35" t="n"/>
      <c r="D16" s="31" t="n"/>
      <c r="E16" s="31" t="n"/>
      <c r="F16" s="31" t="n"/>
      <c r="G16" s="31" t="n"/>
      <c r="H16" s="31" t="n"/>
      <c r="I16" s="31" t="n"/>
      <c r="J16" s="31" t="n"/>
      <c r="K16" s="31" t="n"/>
      <c r="L16" s="31" t="n"/>
      <c r="M16" s="31" t="n"/>
      <c r="N16" s="31" t="n"/>
      <c r="O16" s="31" t="n"/>
      <c r="P16" s="31" t="n"/>
      <c r="Q16" s="31" t="n"/>
    </row>
    <row r="17">
      <c r="A17" s="35" t="n"/>
      <c r="B17" s="35" t="n"/>
      <c r="C17" s="35" t="n"/>
      <c r="D17" s="31" t="n"/>
      <c r="E17" s="31" t="n"/>
      <c r="F17" s="31" t="n"/>
      <c r="G17" s="31" t="n"/>
      <c r="H17" s="31" t="n"/>
      <c r="I17" s="31" t="n"/>
      <c r="J17" s="31" t="n"/>
      <c r="K17" s="31" t="n"/>
      <c r="L17" s="31" t="n"/>
      <c r="M17" s="31" t="n"/>
      <c r="N17" s="31" t="n"/>
      <c r="O17" s="31" t="n"/>
      <c r="P17" s="31" t="n"/>
      <c r="Q17" s="31" t="n"/>
    </row>
    <row r="18">
      <c r="A18" s="35" t="n"/>
      <c r="B18" s="35" t="n"/>
      <c r="C18" s="35" t="n"/>
      <c r="D18" s="31" t="n"/>
      <c r="E18" s="31" t="n"/>
      <c r="F18" s="31" t="n"/>
      <c r="G18" s="31" t="n"/>
      <c r="H18" s="31" t="n"/>
      <c r="I18" s="31" t="n"/>
      <c r="J18" s="31" t="n"/>
      <c r="K18" s="31" t="n"/>
      <c r="L18" s="31" t="n"/>
      <c r="M18" s="31" t="n"/>
      <c r="N18" s="31" t="n"/>
      <c r="O18" s="31" t="n"/>
      <c r="P18" s="31" t="n"/>
      <c r="Q18" s="31" t="n"/>
    </row>
    <row r="19">
      <c r="A19" s="35" t="n"/>
      <c r="B19" s="35" t="n"/>
      <c r="C19" s="35" t="n"/>
      <c r="D19" s="31" t="n"/>
      <c r="E19" s="31" t="n"/>
      <c r="F19" s="31" t="n"/>
      <c r="G19" s="31" t="n"/>
      <c r="H19" s="31" t="n"/>
      <c r="I19" s="31" t="n"/>
      <c r="J19" s="31" t="n"/>
      <c r="K19" s="31" t="n"/>
      <c r="L19" s="31" t="n"/>
      <c r="M19" s="31" t="n"/>
      <c r="N19" s="31" t="n"/>
      <c r="O19" s="31" t="n"/>
      <c r="P19" s="31" t="n"/>
      <c r="Q19" s="31" t="n"/>
    </row>
    <row r="20">
      <c r="A20" s="35" t="n"/>
      <c r="B20" s="35" t="n"/>
      <c r="C20" s="35" t="n"/>
      <c r="D20" s="31" t="n"/>
      <c r="E20" s="31" t="n"/>
      <c r="F20" s="31" t="n"/>
      <c r="G20" s="31" t="n"/>
      <c r="H20" s="31" t="n"/>
      <c r="I20" s="31" t="n"/>
      <c r="J20" s="31" t="n"/>
      <c r="K20" s="31" t="n"/>
      <c r="L20" s="31" t="n"/>
      <c r="M20" s="31" t="n"/>
      <c r="N20" s="31" t="n"/>
      <c r="O20" s="31" t="n"/>
      <c r="P20" s="31" t="n"/>
      <c r="Q20" s="31" t="n"/>
    </row>
    <row r="21">
      <c r="A21" s="35" t="n"/>
      <c r="B21" s="35" t="n"/>
      <c r="C21" s="35" t="n"/>
      <c r="D21" s="31" t="n"/>
      <c r="E21" s="31" t="n"/>
      <c r="F21" s="31" t="n"/>
      <c r="G21" s="31" t="n"/>
      <c r="H21" s="31" t="n"/>
      <c r="I21" s="31" t="n"/>
      <c r="J21" s="31" t="n"/>
      <c r="K21" s="31" t="n"/>
      <c r="L21" s="31" t="n"/>
      <c r="M21" s="31" t="n"/>
      <c r="N21" s="31" t="n"/>
      <c r="O21" s="31" t="n"/>
      <c r="P21" s="31" t="n"/>
      <c r="Q21" s="31" t="n"/>
    </row>
    <row r="22">
      <c r="A22" s="35" t="n"/>
      <c r="B22" s="35" t="n"/>
      <c r="C22" s="35" t="n"/>
      <c r="D22" s="31" t="n"/>
      <c r="E22" s="31" t="n"/>
      <c r="F22" s="31" t="n"/>
      <c r="G22" s="31" t="n"/>
      <c r="H22" s="31" t="n"/>
      <c r="I22" s="31" t="n"/>
      <c r="J22" s="31" t="n"/>
      <c r="K22" s="31" t="n"/>
      <c r="L22" s="31" t="n"/>
      <c r="M22" s="31" t="n"/>
      <c r="N22" s="31" t="n"/>
      <c r="O22" s="31" t="n"/>
      <c r="P22" s="31" t="n"/>
      <c r="Q22" s="31" t="n"/>
    </row>
    <row r="23">
      <c r="A23" s="35" t="n"/>
      <c r="B23" s="35" t="n"/>
      <c r="C23" s="35" t="n"/>
      <c r="D23" s="31" t="n"/>
      <c r="E23" s="31" t="n"/>
      <c r="F23" s="31" t="n"/>
      <c r="G23" s="31" t="n"/>
      <c r="H23" s="31" t="n"/>
      <c r="I23" s="31" t="n"/>
      <c r="J23" s="31" t="n"/>
      <c r="K23" s="31" t="n"/>
      <c r="L23" s="31" t="n"/>
      <c r="M23" s="31" t="n"/>
      <c r="N23" s="31" t="n"/>
      <c r="O23" s="31" t="n"/>
      <c r="P23" s="31" t="n"/>
      <c r="Q23" s="31" t="n"/>
    </row>
    <row r="24">
      <c r="A24" s="35" t="n"/>
      <c r="B24" s="35" t="n"/>
      <c r="C24" s="35" t="n"/>
      <c r="D24" s="31" t="n"/>
      <c r="E24" s="31" t="n"/>
      <c r="F24" s="31" t="n"/>
      <c r="G24" s="31" t="n"/>
      <c r="H24" s="31" t="n"/>
      <c r="I24" s="31" t="n"/>
      <c r="J24" s="31" t="n"/>
      <c r="K24" s="31" t="n"/>
      <c r="L24" s="31" t="n"/>
      <c r="M24" s="31" t="n"/>
      <c r="N24" s="31" t="n"/>
      <c r="O24" s="31" t="n"/>
      <c r="P24" s="31" t="n"/>
      <c r="Q24" s="31" t="n"/>
    </row>
    <row r="25">
      <c r="A25" s="35" t="n"/>
      <c r="B25" s="35" t="n"/>
      <c r="C25" s="35" t="n"/>
      <c r="D25" s="31" t="n"/>
      <c r="E25" s="31" t="n"/>
      <c r="F25" s="31" t="n"/>
      <c r="G25" s="31" t="n"/>
      <c r="H25" s="31" t="n"/>
      <c r="I25" s="31" t="n"/>
      <c r="J25" s="31" t="n"/>
      <c r="K25" s="31" t="n"/>
      <c r="L25" s="31" t="n"/>
      <c r="M25" s="31" t="n"/>
      <c r="N25" s="31" t="n"/>
      <c r="O25" s="31" t="n"/>
      <c r="P25" s="31" t="n"/>
      <c r="Q25" s="31" t="n"/>
    </row>
    <row r="26">
      <c r="A26" s="35" t="n"/>
      <c r="B26" s="35" t="n"/>
      <c r="C26" s="35" t="n"/>
      <c r="D26" s="31" t="n"/>
      <c r="E26" s="31" t="n"/>
      <c r="F26" s="31" t="n"/>
      <c r="G26" s="31" t="n"/>
      <c r="H26" s="31" t="n"/>
      <c r="I26" s="31" t="n"/>
      <c r="J26" s="31" t="n"/>
      <c r="K26" s="31" t="n"/>
      <c r="L26" s="31" t="n"/>
      <c r="M26" s="31" t="n"/>
      <c r="N26" s="31" t="n"/>
      <c r="O26" s="31" t="n"/>
      <c r="P26" s="31" t="n"/>
      <c r="Q26" s="31" t="n"/>
    </row>
    <row r="27">
      <c r="A27" s="35" t="n"/>
      <c r="B27" s="35" t="n"/>
      <c r="C27" s="35" t="n"/>
      <c r="D27" s="31" t="n"/>
      <c r="E27" s="31" t="n"/>
      <c r="F27" s="31" t="n"/>
      <c r="G27" s="31" t="n"/>
      <c r="H27" s="31" t="n"/>
      <c r="I27" s="31" t="n"/>
      <c r="J27" s="31" t="n"/>
      <c r="K27" s="31" t="n"/>
      <c r="L27" s="31" t="n"/>
      <c r="M27" s="31" t="n"/>
      <c r="N27" s="31" t="n"/>
      <c r="O27" s="31" t="n"/>
      <c r="P27" s="31" t="n"/>
      <c r="Q27" s="31" t="n"/>
    </row>
    <row r="28">
      <c r="A28" s="35" t="n"/>
      <c r="B28" s="35" t="n"/>
      <c r="C28" s="35" t="n"/>
      <c r="D28" s="31" t="n"/>
      <c r="E28" s="31" t="n"/>
      <c r="F28" s="31" t="n"/>
      <c r="G28" s="31" t="n"/>
      <c r="H28" s="31" t="n"/>
      <c r="I28" s="31" t="n"/>
      <c r="J28" s="31" t="n"/>
      <c r="K28" s="31" t="n"/>
      <c r="L28" s="31" t="n"/>
      <c r="M28" s="31" t="n"/>
      <c r="N28" s="31" t="n"/>
      <c r="O28" s="31" t="n"/>
      <c r="P28" s="31" t="n"/>
      <c r="Q28" s="31" t="n"/>
    </row>
    <row r="29">
      <c r="A29" s="35" t="n"/>
      <c r="B29" s="35" t="n"/>
      <c r="C29" s="35" t="n"/>
      <c r="D29" s="31" t="n"/>
      <c r="E29" s="31" t="n"/>
      <c r="F29" s="31" t="n"/>
      <c r="G29" s="31" t="n"/>
      <c r="H29" s="31" t="n"/>
      <c r="I29" s="31" t="n"/>
      <c r="J29" s="31" t="n"/>
      <c r="K29" s="31" t="n"/>
      <c r="L29" s="31" t="n"/>
      <c r="M29" s="31" t="n"/>
      <c r="N29" s="31" t="n"/>
      <c r="O29" s="31" t="n"/>
      <c r="P29" s="31" t="n"/>
      <c r="Q29" s="31" t="n"/>
    </row>
    <row r="30">
      <c r="A30" s="35" t="n"/>
      <c r="B30" s="35" t="n"/>
      <c r="C30" s="35" t="n"/>
      <c r="D30" s="31" t="n"/>
      <c r="E30" s="31" t="n"/>
      <c r="F30" s="31" t="n"/>
      <c r="G30" s="31" t="n"/>
      <c r="H30" s="31" t="n"/>
      <c r="I30" s="31" t="n"/>
      <c r="J30" s="31" t="n"/>
      <c r="K30" s="31" t="n"/>
      <c r="L30" s="31" t="n"/>
      <c r="M30" s="31" t="n"/>
      <c r="N30" s="31" t="n"/>
      <c r="O30" s="31" t="n"/>
      <c r="P30" s="31" t="n"/>
      <c r="Q30" s="31" t="n"/>
    </row>
    <row r="31">
      <c r="A31" s="35" t="n"/>
      <c r="B31" s="35" t="n"/>
      <c r="C31" s="35" t="n"/>
      <c r="D31" s="31" t="n"/>
      <c r="E31" s="31" t="n"/>
      <c r="F31" s="31" t="n"/>
      <c r="G31" s="31" t="n"/>
      <c r="H31" s="31" t="n"/>
      <c r="I31" s="31" t="n"/>
      <c r="J31" s="31" t="n"/>
      <c r="K31" s="31" t="n"/>
      <c r="L31" s="31" t="n"/>
      <c r="M31" s="31" t="n"/>
      <c r="N31" s="31" t="n"/>
      <c r="O31" s="31" t="n"/>
      <c r="P31" s="31" t="n"/>
      <c r="Q31" s="31" t="n"/>
    </row>
    <row r="32">
      <c r="A32" s="35" t="n"/>
      <c r="B32" s="35" t="n"/>
      <c r="C32" s="35" t="n"/>
      <c r="D32" s="31" t="n"/>
      <c r="E32" s="31" t="n"/>
      <c r="F32" s="31" t="n"/>
      <c r="G32" s="31" t="n"/>
      <c r="H32" s="31" t="n"/>
      <c r="I32" s="31" t="n"/>
      <c r="J32" s="31" t="n"/>
      <c r="K32" s="31" t="n"/>
      <c r="L32" s="31" t="n"/>
      <c r="M32" s="31" t="n"/>
      <c r="N32" s="31" t="n"/>
      <c r="O32" s="31" t="n"/>
      <c r="P32" s="31" t="n"/>
      <c r="Q32" s="31" t="n"/>
    </row>
    <row r="34">
      <c r="A34" s="27" t="inlineStr">
        <is>
          <t>TOTAL_IN</t>
        </is>
      </c>
      <c r="B34" s="27" t="inlineStr">
        <is>
          <t>Total receipts, week</t>
        </is>
      </c>
      <c r="D34" s="36">
        <f>SUMPRODUCT((D$11:D$32&gt;0)*D$11:D$32*IF($B$5="DOWN",($C$11:$C$32&gt;=4)*1,1))*IF($B$5="UP",1.1,IF($B$5="DOWN",0.85,1))</f>
        <v/>
      </c>
      <c r="E34" s="36">
        <f>SUMPRODUCT((E$11:E$32&gt;0)*E$11:E$32*IF($B$5="DOWN",($C$11:$C$32&gt;=4)*1,1))*IF($B$5="UP",1.1,IF($B$5="DOWN",0.85,1))</f>
        <v/>
      </c>
      <c r="F34" s="36">
        <f>SUMPRODUCT((F$11:F$32&gt;0)*F$11:F$32*IF($B$5="DOWN",($C$11:$C$32&gt;=4)*1,1))*IF($B$5="UP",1.1,IF($B$5="DOWN",0.85,1))</f>
        <v/>
      </c>
      <c r="G34" s="36">
        <f>SUMPRODUCT((G$11:G$32&gt;0)*G$11:G$32*IF($B$5="DOWN",($C$11:$C$32&gt;=4)*1,1))*IF($B$5="UP",1.1,IF($B$5="DOWN",0.85,1))</f>
        <v/>
      </c>
      <c r="H34" s="36">
        <f>SUMPRODUCT((H$11:H$32&gt;0)*H$11:H$32*IF($B$5="DOWN",($C$11:$C$32&gt;=4)*1,1))*IF($B$5="UP",1.1,IF($B$5="DOWN",0.85,1))</f>
        <v/>
      </c>
      <c r="I34" s="36">
        <f>SUMPRODUCT((I$11:I$32&gt;0)*I$11:I$32*IF($B$5="DOWN",($C$11:$C$32&gt;=4)*1,1))*IF($B$5="UP",1.1,IF($B$5="DOWN",0.85,1))</f>
        <v/>
      </c>
      <c r="J34" s="36">
        <f>SUMPRODUCT((J$11:J$32&gt;0)*J$11:J$32*IF($B$5="DOWN",($C$11:$C$32&gt;=4)*1,1))*IF($B$5="UP",1.1,IF($B$5="DOWN",0.85,1))</f>
        <v/>
      </c>
      <c r="K34" s="36">
        <f>SUMPRODUCT((K$11:K$32&gt;0)*K$11:K$32*IF($B$5="DOWN",($C$11:$C$32&gt;=4)*1,1))*IF($B$5="UP",1.1,IF($B$5="DOWN",0.85,1))</f>
        <v/>
      </c>
      <c r="L34" s="36">
        <f>SUMPRODUCT((L$11:L$32&gt;0)*L$11:L$32*IF($B$5="DOWN",($C$11:$C$32&gt;=4)*1,1))*IF($B$5="UP",1.1,IF($B$5="DOWN",0.85,1))</f>
        <v/>
      </c>
      <c r="M34" s="36">
        <f>SUMPRODUCT((M$11:M$32&gt;0)*M$11:M$32*IF($B$5="DOWN",($C$11:$C$32&gt;=4)*1,1))*IF($B$5="UP",1.1,IF($B$5="DOWN",0.85,1))</f>
        <v/>
      </c>
      <c r="N34" s="36">
        <f>SUMPRODUCT((N$11:N$32&gt;0)*N$11:N$32*IF($B$5="DOWN",($C$11:$C$32&gt;=4)*1,1))*IF($B$5="UP",1.1,IF($B$5="DOWN",0.85,1))</f>
        <v/>
      </c>
      <c r="O34" s="36">
        <f>SUMPRODUCT((O$11:O$32&gt;0)*O$11:O$32*IF($B$5="DOWN",($C$11:$C$32&gt;=4)*1,1))*IF($B$5="UP",1.1,IF($B$5="DOWN",0.85,1))</f>
        <v/>
      </c>
      <c r="P34" s="36">
        <f>SUMPRODUCT((P$11:P$32&gt;0)*P$11:P$32*IF($B$5="DOWN",($C$11:$C$32&gt;=4)*1,1))*IF($B$5="UP",1.1,IF($B$5="DOWN",0.85,1))</f>
        <v/>
      </c>
      <c r="Q34" s="36">
        <f>SUM(D34:P34)</f>
        <v/>
      </c>
    </row>
    <row r="35">
      <c r="A35" s="27" t="inlineStr">
        <is>
          <t>TOTAL_OUT</t>
        </is>
      </c>
      <c r="B35" s="27" t="inlineStr">
        <is>
          <t>Total payments, week</t>
        </is>
      </c>
      <c r="D35" s="36">
        <f>SUMPRODUCT((D$11:D$32&lt;0)*D$11:D$32)</f>
        <v/>
      </c>
      <c r="E35" s="36">
        <f>SUMPRODUCT((E$11:E$32&lt;0)*E$11:E$32)</f>
        <v/>
      </c>
      <c r="F35" s="36">
        <f>SUMPRODUCT((F$11:F$32&lt;0)*F$11:F$32)</f>
        <v/>
      </c>
      <c r="G35" s="36">
        <f>SUMPRODUCT((G$11:G$32&lt;0)*G$11:G$32)</f>
        <v/>
      </c>
      <c r="H35" s="36">
        <f>SUMPRODUCT((H$11:H$32&lt;0)*H$11:H$32)</f>
        <v/>
      </c>
      <c r="I35" s="36">
        <f>SUMPRODUCT((I$11:I$32&lt;0)*I$11:I$32)</f>
        <v/>
      </c>
      <c r="J35" s="36">
        <f>SUMPRODUCT((J$11:J$32&lt;0)*J$11:J$32)</f>
        <v/>
      </c>
      <c r="K35" s="36">
        <f>SUMPRODUCT((K$11:K$32&lt;0)*K$11:K$32)</f>
        <v/>
      </c>
      <c r="L35" s="36">
        <f>SUMPRODUCT((L$11:L$32&lt;0)*L$11:L$32)</f>
        <v/>
      </c>
      <c r="M35" s="36">
        <f>SUMPRODUCT((M$11:M$32&lt;0)*M$11:M$32)</f>
        <v/>
      </c>
      <c r="N35" s="36">
        <f>SUMPRODUCT((N$11:N$32&lt;0)*N$11:N$32)</f>
        <v/>
      </c>
      <c r="O35" s="36">
        <f>SUMPRODUCT((O$11:O$32&lt;0)*O$11:O$32)</f>
        <v/>
      </c>
      <c r="P35" s="36">
        <f>SUMPRODUCT((P$11:P$32&lt;0)*P$11:P$32)</f>
        <v/>
      </c>
      <c r="Q35" s="36">
        <f>SUM(D35:P35)</f>
        <v/>
      </c>
    </row>
    <row r="36">
      <c r="A36" s="27" t="inlineStr">
        <is>
          <t>NET</t>
        </is>
      </c>
      <c r="B36" s="27" t="inlineStr">
        <is>
          <t>Net cash flow, week</t>
        </is>
      </c>
      <c r="D36" s="36">
        <f>D34+D35</f>
        <v/>
      </c>
      <c r="E36" s="36">
        <f>E34+E35</f>
        <v/>
      </c>
      <c r="F36" s="36">
        <f>F34+F35</f>
        <v/>
      </c>
      <c r="G36" s="36">
        <f>G34+G35</f>
        <v/>
      </c>
      <c r="H36" s="36">
        <f>H34+H35</f>
        <v/>
      </c>
      <c r="I36" s="36">
        <f>I34+I35</f>
        <v/>
      </c>
      <c r="J36" s="36">
        <f>J34+J35</f>
        <v/>
      </c>
      <c r="K36" s="36">
        <f>K34+K35</f>
        <v/>
      </c>
      <c r="L36" s="36">
        <f>L34+L35</f>
        <v/>
      </c>
      <c r="M36" s="36">
        <f>M34+M35</f>
        <v/>
      </c>
      <c r="N36" s="36">
        <f>N34+N35</f>
        <v/>
      </c>
      <c r="O36" s="36">
        <f>O34+O35</f>
        <v/>
      </c>
      <c r="P36" s="36">
        <f>P34+P35</f>
        <v/>
      </c>
      <c r="Q36" s="36">
        <f>SUM(D36:P36)</f>
        <v/>
      </c>
    </row>
    <row r="37">
      <c r="A37" s="27" t="inlineStr">
        <is>
          <t>OPEN</t>
        </is>
      </c>
      <c r="B37" s="27" t="inlineStr">
        <is>
          <t>Opening balance, week</t>
        </is>
      </c>
      <c r="D37" s="36">
        <f>IF(COLUMN()=4,$B$6,C38)</f>
        <v/>
      </c>
      <c r="E37" s="36">
        <f>IF(COLUMN()=4,$B$6,D38)</f>
        <v/>
      </c>
      <c r="F37" s="36">
        <f>IF(COLUMN()=4,$B$6,E38)</f>
        <v/>
      </c>
      <c r="G37" s="36">
        <f>IF(COLUMN()=4,$B$6,F38)</f>
        <v/>
      </c>
      <c r="H37" s="36">
        <f>IF(COLUMN()=4,$B$6,G38)</f>
        <v/>
      </c>
      <c r="I37" s="36">
        <f>IF(COLUMN()=4,$B$6,H38)</f>
        <v/>
      </c>
      <c r="J37" s="36">
        <f>IF(COLUMN()=4,$B$6,I38)</f>
        <v/>
      </c>
      <c r="K37" s="36">
        <f>IF(COLUMN()=4,$B$6,J38)</f>
        <v/>
      </c>
      <c r="L37" s="36">
        <f>IF(COLUMN()=4,$B$6,K38)</f>
        <v/>
      </c>
      <c r="M37" s="36">
        <f>IF(COLUMN()=4,$B$6,L38)</f>
        <v/>
      </c>
      <c r="N37" s="36">
        <f>IF(COLUMN()=4,$B$6,M38)</f>
        <v/>
      </c>
      <c r="O37" s="36">
        <f>IF(COLUMN()=4,$B$6,N38)</f>
        <v/>
      </c>
      <c r="P37" s="36">
        <f>IF(COLUMN()=4,$B$6,O38)</f>
        <v/>
      </c>
      <c r="Q37" s="36">
        <f>D37</f>
        <v/>
      </c>
    </row>
    <row r="38">
      <c r="A38" s="27" t="inlineStr">
        <is>
          <t>CLOSE</t>
        </is>
      </c>
      <c r="B38" s="27" t="inlineStr">
        <is>
          <t>Closing balance, week</t>
        </is>
      </c>
      <c r="D38" s="36">
        <f>D37+D36</f>
        <v/>
      </c>
      <c r="E38" s="36">
        <f>E37+E36</f>
        <v/>
      </c>
      <c r="F38" s="36">
        <f>F37+F36</f>
        <v/>
      </c>
      <c r="G38" s="36">
        <f>G37+G36</f>
        <v/>
      </c>
      <c r="H38" s="36">
        <f>H37+H36</f>
        <v/>
      </c>
      <c r="I38" s="36">
        <f>I37+I36</f>
        <v/>
      </c>
      <c r="J38" s="36">
        <f>J37+J36</f>
        <v/>
      </c>
      <c r="K38" s="36">
        <f>K37+K36</f>
        <v/>
      </c>
      <c r="L38" s="36">
        <f>L37+L36</f>
        <v/>
      </c>
      <c r="M38" s="36">
        <f>M37+M36</f>
        <v/>
      </c>
      <c r="N38" s="36">
        <f>N37+N36</f>
        <v/>
      </c>
      <c r="O38" s="36">
        <f>O37+O36</f>
        <v/>
      </c>
      <c r="P38" s="36">
        <f>P37+P36</f>
        <v/>
      </c>
      <c r="Q38" s="36">
        <f>P38</f>
        <v/>
      </c>
    </row>
    <row r="39">
      <c r="A39" s="27" t="inlineStr">
        <is>
          <t>FACILITY_USE</t>
        </is>
      </c>
      <c r="B39" s="27" t="inlineStr">
        <is>
          <t>Facility used</t>
        </is>
      </c>
      <c r="D39" s="36">
        <f>MAX(0,-D38)</f>
        <v/>
      </c>
      <c r="E39" s="36">
        <f>MAX(0,-E38)</f>
        <v/>
      </c>
      <c r="F39" s="36">
        <f>MAX(0,-F38)</f>
        <v/>
      </c>
      <c r="G39" s="36">
        <f>MAX(0,-G38)</f>
        <v/>
      </c>
      <c r="H39" s="36">
        <f>MAX(0,-H38)</f>
        <v/>
      </c>
      <c r="I39" s="36">
        <f>MAX(0,-I38)</f>
        <v/>
      </c>
      <c r="J39" s="36">
        <f>MAX(0,-J38)</f>
        <v/>
      </c>
      <c r="K39" s="36">
        <f>MAX(0,-K38)</f>
        <v/>
      </c>
      <c r="L39" s="36">
        <f>MAX(0,-L38)</f>
        <v/>
      </c>
      <c r="M39" s="36">
        <f>MAX(0,-M38)</f>
        <v/>
      </c>
      <c r="N39" s="36">
        <f>MAX(0,-N38)</f>
        <v/>
      </c>
      <c r="O39" s="36">
        <f>MAX(0,-O38)</f>
        <v/>
      </c>
      <c r="P39" s="36">
        <f>MAX(0,-P38)</f>
        <v/>
      </c>
      <c r="Q39" s="36">
        <f>MAX(D39:P39)</f>
        <v/>
      </c>
    </row>
    <row r="40">
      <c r="A40" s="27" t="inlineStr">
        <is>
          <t>STATUS</t>
        </is>
      </c>
      <c r="B40" s="27" t="inlineStr">
        <is>
          <t>Status</t>
        </is>
      </c>
      <c r="D40" s="37">
        <f>IF(D38&gt;=0,"OK",IF(D39&lt;=$B$7,"LINE","BREACH"))</f>
        <v/>
      </c>
      <c r="E40" s="37">
        <f>IF(E38&gt;=0,"OK",IF(E39&lt;=$B$7,"LINE","BREACH"))</f>
        <v/>
      </c>
      <c r="F40" s="37">
        <f>IF(F38&gt;=0,"OK",IF(F39&lt;=$B$7,"LINE","BREACH"))</f>
        <v/>
      </c>
      <c r="G40" s="37">
        <f>IF(G38&gt;=0,"OK",IF(G39&lt;=$B$7,"LINE","BREACH"))</f>
        <v/>
      </c>
      <c r="H40" s="37">
        <f>IF(H38&gt;=0,"OK",IF(H39&lt;=$B$7,"LINE","BREACH"))</f>
        <v/>
      </c>
      <c r="I40" s="37">
        <f>IF(I38&gt;=0,"OK",IF(I39&lt;=$B$7,"LINE","BREACH"))</f>
        <v/>
      </c>
      <c r="J40" s="37">
        <f>IF(J38&gt;=0,"OK",IF(J39&lt;=$B$7,"LINE","BREACH"))</f>
        <v/>
      </c>
      <c r="K40" s="37">
        <f>IF(K38&gt;=0,"OK",IF(K39&lt;=$B$7,"LINE","BREACH"))</f>
        <v/>
      </c>
      <c r="L40" s="37">
        <f>IF(L38&gt;=0,"OK",IF(L39&lt;=$B$7,"LINE","BREACH"))</f>
        <v/>
      </c>
      <c r="M40" s="37">
        <f>IF(M38&gt;=0,"OK",IF(M39&lt;=$B$7,"LINE","BREACH"))</f>
        <v/>
      </c>
      <c r="N40" s="37">
        <f>IF(N38&gt;=0,"OK",IF(N39&lt;=$B$7,"LINE","BREACH"))</f>
        <v/>
      </c>
      <c r="O40" s="37">
        <f>IF(O38&gt;=0,"OK",IF(O39&lt;=$B$7,"LINE","BREACH"))</f>
        <v/>
      </c>
      <c r="P40" s="37">
        <f>IF(P38&gt;=0,"OK",IF(P39&lt;=$B$7,"LINE","BREACH"))</f>
        <v/>
      </c>
      <c r="Q40" s="37">
        <f>IF(COUNTIF(D40:P40,"BREACH")&gt;0,"BREACH",IF(COUNTIF(D40:P40,"LINE")&gt;0,"LINE","OK"))</f>
        <v/>
      </c>
    </row>
    <row r="43">
      <c r="A43" s="15" t="inlineStr">
        <is>
          <t>השורות בקרם ריקות ומחכות לכם. אם צריך יותר מ-22 שורות, הוסיפו שורות מעל השורה האחרונה כדי שהסיכומים יתרחבו איתן.</t>
        </is>
      </c>
    </row>
  </sheetData>
  <mergeCells count="2">
    <mergeCell ref="A2:Q2"/>
    <mergeCell ref="A1:Q1"/>
  </mergeCells>
  <conditionalFormatting sqref="D38">
    <cfRule type="cellIs" priority="1" operator="lessThan" dxfId="0">
      <formula>0</formula>
    </cfRule>
  </conditionalFormatting>
  <conditionalFormatting sqref="E38">
    <cfRule type="cellIs" priority="2" operator="lessThan" dxfId="0">
      <formula>0</formula>
    </cfRule>
  </conditionalFormatting>
  <conditionalFormatting sqref="F38">
    <cfRule type="cellIs" priority="3" operator="lessThan" dxfId="0">
      <formula>0</formula>
    </cfRule>
  </conditionalFormatting>
  <conditionalFormatting sqref="G38">
    <cfRule type="cellIs" priority="4" operator="lessThan" dxfId="0">
      <formula>0</formula>
    </cfRule>
  </conditionalFormatting>
  <conditionalFormatting sqref="H38">
    <cfRule type="cellIs" priority="5" operator="lessThan" dxfId="0">
      <formula>0</formula>
    </cfRule>
  </conditionalFormatting>
  <conditionalFormatting sqref="I38">
    <cfRule type="cellIs" priority="6" operator="lessThan" dxfId="0">
      <formula>0</formula>
    </cfRule>
  </conditionalFormatting>
  <conditionalFormatting sqref="J38">
    <cfRule type="cellIs" priority="7" operator="lessThan" dxfId="0">
      <formula>0</formula>
    </cfRule>
  </conditionalFormatting>
  <conditionalFormatting sqref="K38">
    <cfRule type="cellIs" priority="8" operator="lessThan" dxfId="0">
      <formula>0</formula>
    </cfRule>
  </conditionalFormatting>
  <conditionalFormatting sqref="L38">
    <cfRule type="cellIs" priority="9" operator="lessThan" dxfId="0">
      <formula>0</formula>
    </cfRule>
  </conditionalFormatting>
  <conditionalFormatting sqref="M38">
    <cfRule type="cellIs" priority="10" operator="lessThan" dxfId="0">
      <formula>0</formula>
    </cfRule>
  </conditionalFormatting>
  <conditionalFormatting sqref="N38">
    <cfRule type="cellIs" priority="11" operator="lessThan" dxfId="0">
      <formula>0</formula>
    </cfRule>
  </conditionalFormatting>
  <conditionalFormatting sqref="O38">
    <cfRule type="cellIs" priority="12" operator="lessThan" dxfId="0">
      <formula>0</formula>
    </cfRule>
  </conditionalFormatting>
  <conditionalFormatting sqref="P38">
    <cfRule type="cellIs" priority="13" operator="lessThan" dxfId="0">
      <formula>0</formula>
    </cfRule>
  </conditionalFormatting>
  <dataValidations count="1">
    <dataValidation sqref="B5" showDropDown="0" showInputMessage="0" showErrorMessage="0" allowBlank="0" type="list">
      <formula1>"UP,BASE,DOWN"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1"/>
  <sheetViews>
    <sheetView rightToLeft="1" workbookViewId="0">
      <selection activeCell="A1" sqref="A1"/>
    </sheetView>
  </sheetViews>
  <sheetFormatPr baseColWidth="8" defaultRowHeight="15"/>
  <cols>
    <col width="18" customWidth="1" min="1" max="1"/>
    <col width="10" customWidth="1" min="2" max="2"/>
    <col width="46" customWidth="1" min="3" max="3"/>
    <col width="104" customWidth="1" min="4" max="4"/>
    <col width="12" customWidth="1" min="5" max="5"/>
  </cols>
  <sheetData>
    <row r="1" ht="32" customHeight="1">
      <c r="A1" s="1" t="inlineStr">
        <is>
          <t>Formula Key · כל הנוסחאות</t>
        </is>
      </c>
    </row>
    <row r="2" ht="18" customHeight="1">
      <c r="A2" s="2" t="inlineStr">
        <is>
          <t>כל נוסחה כאן היא ASCII בלבד. אפשר להעתיק ולהדביק אותה בכל מחשב בלי שהעברית תשבור אותה.</t>
        </is>
      </c>
    </row>
    <row r="4" ht="28" customHeight="1">
      <c r="A4" s="9" t="inlineStr">
        <is>
          <t>Sheet</t>
        </is>
      </c>
      <c r="B4" s="9" t="inlineStr">
        <is>
          <t>Cell</t>
        </is>
      </c>
      <c r="C4" s="9" t="inlineStr">
        <is>
          <t>מה זה עושה</t>
        </is>
      </c>
      <c r="D4" s="9" t="inlineStr">
        <is>
          <t>Formula</t>
        </is>
      </c>
      <c r="E4" s="9" t="inlineStr">
        <is>
          <t>Fill</t>
        </is>
      </c>
    </row>
    <row r="5" ht="26" customHeight="1">
      <c r="A5" s="38" t="inlineStr">
        <is>
          <t>04_ETL</t>
        </is>
      </c>
      <c r="B5" s="38" t="inlineStr">
        <is>
          <t>E8</t>
        </is>
      </c>
      <c r="C5" s="38" t="inlineStr">
        <is>
          <t>המרת תאריך טקסט לתאריך אמיתי, עמידה לשני פורמטים ובלתי תלויה בהגדרות אזור</t>
        </is>
      </c>
      <c r="D5" s="39" t="inlineStr">
        <is>
          <t>=LET(t,SUBSTITUTE(TRIM(A8),".","/"),d,VALUE(LEFT(t,FIND("/",t)-1)),r,MID(t,FIND("/",t)+1,20),m,VALUE(LEFT(r,FIND("/",r)-1)),y,VALUE(MID(r,FIND("/",r)+1,4)),DATE(IF(y&lt;100,2000+y,y),m,d))</t>
        </is>
      </c>
      <c r="E5" s="38" t="inlineStr">
        <is>
          <t>למטה</t>
        </is>
      </c>
    </row>
    <row r="6" ht="26" customHeight="1">
      <c r="A6" s="38" t="inlineStr">
        <is>
          <t>04_ETL</t>
        </is>
      </c>
      <c r="B6" s="38" t="inlineStr">
        <is>
          <t>F8</t>
        </is>
      </c>
      <c r="C6" s="38" t="inlineStr">
        <is>
          <t>המרת סכום טקסט למספר. הסרת פסיקים ורווחים, וסוגריים כסימן לחיוב</t>
        </is>
      </c>
      <c r="D6" s="39" t="inlineStr">
        <is>
          <t>=LET(t,SUBSTITUTE(C8,UNICHAR(160)," "),n,SUBSTITUTE(SUBSTITUTE(TRIM(t)," ",""),",",""),IF(LEFT(n,1)="(",-VALUE(SUBSTITUTE(SUBSTITUTE(n,"(",""),")","")),VALUE(n)))</t>
        </is>
      </c>
      <c r="E6" s="38" t="inlineStr">
        <is>
          <t>למטה</t>
        </is>
      </c>
    </row>
    <row r="7" ht="18" customHeight="1">
      <c r="A7" s="38" t="inlineStr">
        <is>
          <t>04_ETL</t>
        </is>
      </c>
      <c r="B7" s="38" t="inlineStr">
        <is>
          <t>G8</t>
        </is>
      </c>
      <c r="C7" s="38" t="inlineStr">
        <is>
          <t>ניקוי תיאור: תווים נסתרים שהבנק משאיר, ורווחים כפולים</t>
        </is>
      </c>
      <c r="D7" s="39" t="inlineStr">
        <is>
          <t>=TRIM(SUBSTITUTE(SUBSTITUTE(SUBSTITUTE(B8,UNICHAR(160)," "),UNICHAR(8207),""),UNICHAR(8206),""))</t>
        </is>
      </c>
      <c r="E7" s="38" t="inlineStr">
        <is>
          <t>למטה</t>
        </is>
      </c>
    </row>
    <row r="8" ht="18" customHeight="1">
      <c r="A8" s="38" t="inlineStr">
        <is>
          <t>04_ETL</t>
        </is>
      </c>
      <c r="B8" s="38" t="inlineStr">
        <is>
          <t>H8</t>
        </is>
      </c>
      <c r="C8" s="38" t="inlineStr">
        <is>
          <t>סיווג אוטומטי לפי טבלת המיפוי. מחזיר את קוד הסעיף של מילת המפתח הראשונה שנמצאה</t>
        </is>
      </c>
      <c r="D8" s="39" t="inlineStr">
        <is>
          <t>=IFERROR(INDEX(MAP[Acct],SUMPRODUCT(MATCH(1,--ISNUMBER(SEARCH(MAP[Keyword],G8)),0))),"UNMAPPED")</t>
        </is>
      </c>
      <c r="E8" s="38" t="inlineStr">
        <is>
          <t>למטה</t>
        </is>
      </c>
    </row>
    <row r="9" ht="18" customHeight="1">
      <c r="A9" s="38" t="inlineStr">
        <is>
          <t>04_ETL</t>
        </is>
      </c>
      <c r="B9" s="38" t="inlineStr">
        <is>
          <t>I8</t>
        </is>
      </c>
      <c r="C9" s="38" t="inlineStr">
        <is>
          <t>זיהוי כפילות: אותה אסמכתא, אותו סכום ואותו תאריך מופיעים יותר מפעם אחת</t>
        </is>
      </c>
      <c r="D9" s="39" t="inlineStr">
        <is>
          <t>=IF(COUNTIFS($D$8:$D$108,D8,$F$8:$F$108,F8,$E$8:$E$108,E8)&gt;1,"DUP","")</t>
        </is>
      </c>
      <c r="E9" s="38" t="inlineStr">
        <is>
          <t>למטה</t>
        </is>
      </c>
    </row>
    <row r="10" ht="18" customHeight="1">
      <c r="A10" s="38" t="inlineStr">
        <is>
          <t>04_ETL</t>
        </is>
      </c>
      <c r="B10" s="38" t="inlineStr">
        <is>
          <t>B112</t>
        </is>
      </c>
      <c r="C10" s="38" t="inlineStr">
        <is>
          <t>שורות שנקלטו</t>
        </is>
      </c>
      <c r="D10" s="39" t="inlineStr">
        <is>
          <t>=COUNTA(D8:D108)</t>
        </is>
      </c>
      <c r="E10" s="38" t="inlineStr">
        <is>
          <t>תא בודד</t>
        </is>
      </c>
    </row>
    <row r="11" ht="18" customHeight="1">
      <c r="A11" s="38" t="inlineStr">
        <is>
          <t>04_ETL</t>
        </is>
      </c>
      <c r="B11" s="38" t="inlineStr">
        <is>
          <t>B113</t>
        </is>
      </c>
      <c r="C11" s="38" t="inlineStr">
        <is>
          <t>שורות שלא סווגו</t>
        </is>
      </c>
      <c r="D11" s="39" t="inlineStr">
        <is>
          <t>=COUNTIF(H8:H108,"UNMAPPED")</t>
        </is>
      </c>
      <c r="E11" s="38" t="inlineStr">
        <is>
          <t>תא בודד</t>
        </is>
      </c>
    </row>
    <row r="12" ht="18" customHeight="1">
      <c r="A12" s="38" t="inlineStr">
        <is>
          <t>04_ETL</t>
        </is>
      </c>
      <c r="B12" s="38" t="inlineStr">
        <is>
          <t>B114</t>
        </is>
      </c>
      <c r="C12" s="38" t="inlineStr">
        <is>
          <t>שורות שסומנו ככפילות</t>
        </is>
      </c>
      <c r="D12" s="39" t="inlineStr">
        <is>
          <t>=COUNTIF(I8:I108,"DUP")</t>
        </is>
      </c>
      <c r="E12" s="38" t="inlineStr">
        <is>
          <t>תא בודד</t>
        </is>
      </c>
    </row>
    <row r="13" ht="18" customHeight="1">
      <c r="A13" s="38" t="inlineStr">
        <is>
          <t>04_ETL</t>
        </is>
      </c>
      <c r="B13" s="38" t="inlineStr">
        <is>
          <t>B115</t>
        </is>
      </c>
      <c r="C13" s="38" t="inlineStr">
        <is>
          <t>סה"כ תקבולים בקובץ, ללא כפילויות</t>
        </is>
      </c>
      <c r="D13" s="39" t="inlineStr">
        <is>
          <t>=SUMIFS(F8:F108,I8:I108,"",F8:F108,"&gt;0")</t>
        </is>
      </c>
      <c r="E13" s="38" t="inlineStr">
        <is>
          <t>תא בודד</t>
        </is>
      </c>
    </row>
    <row r="14" ht="18" customHeight="1">
      <c r="A14" s="38" t="inlineStr">
        <is>
          <t>04_ETL</t>
        </is>
      </c>
      <c r="B14" s="38" t="inlineStr">
        <is>
          <t>B116</t>
        </is>
      </c>
      <c r="C14" s="38" t="inlineStr">
        <is>
          <t>סה"כ תשלומים בקובץ, ללא כפילויות</t>
        </is>
      </c>
      <c r="D14" s="39" t="inlineStr">
        <is>
          <t>=SUMIFS(F8:F108,I8:I108,"",F8:F108,"&lt;0")</t>
        </is>
      </c>
      <c r="E14" s="38" t="inlineStr">
        <is>
          <t>תא בודד</t>
        </is>
      </c>
    </row>
    <row r="15" ht="18" customHeight="1">
      <c r="A15" s="38" t="inlineStr">
        <is>
          <t>04_ETL</t>
        </is>
      </c>
      <c r="B15" s="38" t="inlineStr">
        <is>
          <t>B117</t>
        </is>
      </c>
      <c r="C15" s="38" t="inlineStr">
        <is>
          <t>סה"כ תשלומי מס בתקופה</t>
        </is>
      </c>
      <c r="D15" s="39" t="inlineStr">
        <is>
          <t>=SUMIFS(F8:F108,H8:H108,"TAX",I8:I108,"")</t>
        </is>
      </c>
      <c r="E15" s="38" t="inlineStr">
        <is>
          <t>תא בודד</t>
        </is>
      </c>
    </row>
    <row r="16" ht="18" customHeight="1">
      <c r="A16" s="38" t="inlineStr">
        <is>
          <t>04_ETL</t>
        </is>
      </c>
      <c r="B16" s="38" t="inlineStr">
        <is>
          <t>B118</t>
        </is>
      </c>
      <c r="C16" s="38" t="inlineStr">
        <is>
          <t>משיכות בעלים, דגל לסעיף 3(ט1)</t>
        </is>
      </c>
      <c r="D16" s="39" t="inlineStr">
        <is>
          <t>=SUMIFS(F8:F108,H8:H108,"OWNER",I8:I108,"")</t>
        </is>
      </c>
      <c r="E16" s="38" t="inlineStr">
        <is>
          <t>תא בודד</t>
        </is>
      </c>
    </row>
    <row r="17" ht="26" customHeight="1">
      <c r="A17" s="38" t="inlineStr">
        <is>
          <t>10_CONTROL</t>
        </is>
      </c>
      <c r="B17" s="38" t="inlineStr">
        <is>
          <t>D8</t>
        </is>
      </c>
      <c r="C17" s="38" t="inlineStr">
        <is>
          <t>תקציב לתקופה ולמחלקה שנבחרו</t>
        </is>
      </c>
      <c r="D17" s="39" t="inlineStr">
        <is>
          <t>=SUMIFS(BUDGET[Budget],BUDGET[Acct],$A8,BUDGET[Month],"&gt;="&amp;$B$4,BUDGET[Month],"&lt;="&amp;$B$5,BUDGET[Dept],IF($B$3="ALL","*",$B$3))</t>
        </is>
      </c>
      <c r="E17" s="38" t="inlineStr">
        <is>
          <t>למטה</t>
        </is>
      </c>
    </row>
    <row r="18" ht="26" customHeight="1">
      <c r="A18" s="38" t="inlineStr">
        <is>
          <t>10_CONTROL</t>
        </is>
      </c>
      <c r="B18" s="38" t="inlineStr">
        <is>
          <t>E8</t>
        </is>
      </c>
      <c r="C18" s="38" t="inlineStr">
        <is>
          <t>ביצוע בפועל לאותה תקופה ומחלקה</t>
        </is>
      </c>
      <c r="D18" s="39" t="inlineStr">
        <is>
          <t>=SUMIFS(GL[Amount],GL[Acct],$A8,GL[Month],"&gt;="&amp;$B$4,GL[Month],"&lt;="&amp;$B$5,GL[Dept],IF($B$3="ALL","*",$B$3))</t>
        </is>
      </c>
      <c r="E18" s="38" t="inlineStr">
        <is>
          <t>למטה</t>
        </is>
      </c>
    </row>
    <row r="19" ht="18" customHeight="1">
      <c r="A19" s="38" t="inlineStr">
        <is>
          <t>10_CONTROL</t>
        </is>
      </c>
      <c r="B19" s="38" t="inlineStr">
        <is>
          <t>F8</t>
        </is>
      </c>
      <c r="C19" s="38" t="inlineStr">
        <is>
          <t>סטייה בשקלים</t>
        </is>
      </c>
      <c r="D19" s="39" t="inlineStr">
        <is>
          <t>=E8-D8</t>
        </is>
      </c>
      <c r="E19" s="38" t="inlineStr">
        <is>
          <t>למטה</t>
        </is>
      </c>
    </row>
    <row r="20" ht="18" customHeight="1">
      <c r="A20" s="38" t="inlineStr">
        <is>
          <t>10_CONTROL</t>
        </is>
      </c>
      <c r="B20" s="38" t="inlineStr">
        <is>
          <t>G8</t>
        </is>
      </c>
      <c r="C20" s="38" t="inlineStr">
        <is>
          <t>סטייה באחוזים, מוגנת מחלוקה באפס</t>
        </is>
      </c>
      <c r="D20" s="39" t="inlineStr">
        <is>
          <t>=IFERROR(F8/D8,0)</t>
        </is>
      </c>
      <c r="E20" s="38" t="inlineStr">
        <is>
          <t>למטה</t>
        </is>
      </c>
    </row>
    <row r="21" ht="18" customHeight="1">
      <c r="A21" s="38" t="inlineStr">
        <is>
          <t>10_CONTROL</t>
        </is>
      </c>
      <c r="B21" s="38" t="inlineStr">
        <is>
          <t>H8</t>
        </is>
      </c>
      <c r="C21" s="38" t="inlineStr">
        <is>
          <t>התראה שמבדילה בין הכנסה להוצאה</t>
        </is>
      </c>
      <c r="D21" s="39" t="inlineStr">
        <is>
          <t>=IF(ABS(G8)&gt;10%,IF($C8="REVENUE",IF(G8&lt;0,"MISS","BEAT"),IF(G8&gt;0,"OVER","SAVE")),"")</t>
        </is>
      </c>
      <c r="E21" s="38" t="inlineStr">
        <is>
          <t>למטה</t>
        </is>
      </c>
    </row>
    <row r="22" ht="26" customHeight="1">
      <c r="A22" s="38" t="inlineStr">
        <is>
          <t>10_CONTROL</t>
        </is>
      </c>
      <c r="B22" s="38" t="inlineStr">
        <is>
          <t>I8</t>
        </is>
      </c>
      <c r="C22" s="38" t="inlineStr">
        <is>
          <t>משקל הסעיף מתוך המחזור בפועל</t>
        </is>
      </c>
      <c r="D22" s="39" t="inlineStr">
        <is>
          <t>=IFERROR(E8/SUMIFS(GL[Amount],GL[Grp],"REVENUE",GL[Month],"&gt;="&amp;$B$4,GL[Month],"&lt;="&amp;$B$5,GL[Dept],IF($B$3="ALL","*",$B$3)),0)</t>
        </is>
      </c>
      <c r="E22" s="38" t="inlineStr">
        <is>
          <t>למטה</t>
        </is>
      </c>
    </row>
    <row r="23" ht="26" customHeight="1">
      <c r="A23" s="38" t="inlineStr">
        <is>
          <t>10_CONTROL</t>
        </is>
      </c>
      <c r="B23" s="38" t="inlineStr">
        <is>
          <t>B24</t>
        </is>
      </c>
      <c r="C23" s="38" t="inlineStr">
        <is>
          <t>מחזור בפועל</t>
        </is>
      </c>
      <c r="D23" s="39" t="inlineStr">
        <is>
          <t>=SUMIFS(GL[Amount],GL[Grp],"REVENUE",GL[Month],"&gt;="&amp;$B$4,GL[Month],"&lt;="&amp;$B$5,GL[Dept],IF($B$3="ALL","*",$B$3))</t>
        </is>
      </c>
      <c r="E23" s="38" t="inlineStr">
        <is>
          <t>תא בודד</t>
        </is>
      </c>
    </row>
    <row r="24" ht="26" customHeight="1">
      <c r="A24" s="38" t="inlineStr">
        <is>
          <t>10_CONTROL</t>
        </is>
      </c>
      <c r="B24" s="38" t="inlineStr">
        <is>
          <t>B25</t>
        </is>
      </c>
      <c r="C24" s="38" t="inlineStr">
        <is>
          <t>עלות המכר בפועל</t>
        </is>
      </c>
      <c r="D24" s="39" t="inlineStr">
        <is>
          <t>=SUMIFS(GL[Amount],GL[Grp],"COGS",GL[Month],"&gt;="&amp;$B$4,GL[Month],"&lt;="&amp;$B$5,GL[Dept],IF($B$3="ALL","*",$B$3))</t>
        </is>
      </c>
      <c r="E24" s="38" t="inlineStr">
        <is>
          <t>תא בודד</t>
        </is>
      </c>
    </row>
    <row r="25" ht="18" customHeight="1">
      <c r="A25" s="38" t="inlineStr">
        <is>
          <t>10_CONTROL</t>
        </is>
      </c>
      <c r="B25" s="38" t="inlineStr">
        <is>
          <t>B26</t>
        </is>
      </c>
      <c r="C25" s="38" t="inlineStr">
        <is>
          <t>רווח גולמי</t>
        </is>
      </c>
      <c r="D25" s="39" t="inlineStr">
        <is>
          <t>=B24-B25</t>
        </is>
      </c>
      <c r="E25" s="38" t="inlineStr">
        <is>
          <t>תא בודד</t>
        </is>
      </c>
    </row>
    <row r="26" ht="18" customHeight="1">
      <c r="A26" s="38" t="inlineStr">
        <is>
          <t>10_CONTROL</t>
        </is>
      </c>
      <c r="B26" s="38" t="inlineStr">
        <is>
          <t>B27</t>
        </is>
      </c>
      <c r="C26" s="38" t="inlineStr">
        <is>
          <t>שיעור רווח גולמי בפועל</t>
        </is>
      </c>
      <c r="D26" s="39" t="inlineStr">
        <is>
          <t>=IFERROR(B26/B24,0)</t>
        </is>
      </c>
      <c r="E26" s="38" t="inlineStr">
        <is>
          <t>תא בודד</t>
        </is>
      </c>
    </row>
    <row r="27" ht="39" customHeight="1">
      <c r="A27" s="38" t="inlineStr">
        <is>
          <t>10_CONTROL</t>
        </is>
      </c>
      <c r="B27" s="38" t="inlineStr">
        <is>
          <t>B28</t>
        </is>
      </c>
      <c r="C27" s="38" t="inlineStr">
        <is>
          <t>שיעור רווח גולמי בתקציב</t>
        </is>
      </c>
      <c r="D27" s="39" t="inlineStr">
        <is>
          <t>=IFERROR((SUMIFS(BUDGET[Budget],BUDGET[Grp],"REVENUE",BUDGET[Month],"&gt;="&amp;$B$4,BUDGET[Month],"&lt;="&amp;$B$5)-SUMIFS(BUDGET[Budget],BUDGET[Grp],"COGS",BUDGET[Month],"&gt;="&amp;$B$4,BUDGET[Month],"&lt;="&amp;$B$5))/SUMIFS(BUDGET[Budget],BUDGET[Grp],"REVENUE",BUDGET[Month],"&gt;="&amp;$B$4,BUDGET[Month],"&lt;="&amp;$B$5),0)</t>
        </is>
      </c>
      <c r="E27" s="38" t="inlineStr">
        <is>
          <t>תא בודד</t>
        </is>
      </c>
    </row>
    <row r="28" ht="18" customHeight="1">
      <c r="A28" s="38" t="inlineStr">
        <is>
          <t>10_CONTROL</t>
        </is>
      </c>
      <c r="B28" s="38" t="inlineStr">
        <is>
          <t>B29</t>
        </is>
      </c>
      <c r="C28" s="38" t="inlineStr">
        <is>
          <t>פער שיעור הרווח הגולמי, נקודות אחוז</t>
        </is>
      </c>
      <c r="D28" s="39" t="inlineStr">
        <is>
          <t>=B27-B28</t>
        </is>
      </c>
      <c r="E28" s="38" t="inlineStr">
        <is>
          <t>תא בודד</t>
        </is>
      </c>
    </row>
    <row r="29" ht="26" customHeight="1">
      <c r="A29" s="38" t="inlineStr">
        <is>
          <t>10_CONTROL</t>
        </is>
      </c>
      <c r="B29" s="38" t="inlineStr">
        <is>
          <t>B30</t>
        </is>
      </c>
      <c r="C29" s="38" t="inlineStr">
        <is>
          <t>רווח תפעולי בפועל</t>
        </is>
      </c>
      <c r="D29" s="39" t="inlineStr">
        <is>
          <t>=B26-SUMIFS(GL[Amount],GL[Grp],"OPEX",GL[Month],"&gt;="&amp;$B$4,GL[Month],"&lt;="&amp;$B$5,GL[Dept],IF($B$3="ALL","*",$B$3))</t>
        </is>
      </c>
      <c r="E29" s="38" t="inlineStr">
        <is>
          <t>תא בודד</t>
        </is>
      </c>
    </row>
    <row r="30" ht="18" customHeight="1">
      <c r="A30" s="38" t="inlineStr">
        <is>
          <t>11_PVM</t>
        </is>
      </c>
      <c r="B30" s="38" t="inlineStr">
        <is>
          <t>C12</t>
        </is>
      </c>
      <c r="C30" s="38" t="inlineStr">
        <is>
          <t>סכום עמודה</t>
        </is>
      </c>
      <c r="D30" s="39" t="inlineStr">
        <is>
          <t>=SUM(C8:C11)</t>
        </is>
      </c>
      <c r="E30" s="38" t="inlineStr">
        <is>
          <t>תא בודד</t>
        </is>
      </c>
    </row>
    <row r="31" ht="18" customHeight="1">
      <c r="A31" s="38" t="inlineStr">
        <is>
          <t>11_PVM</t>
        </is>
      </c>
      <c r="B31" s="38" t="inlineStr">
        <is>
          <t>E12</t>
        </is>
      </c>
      <c r="C31" s="38" t="inlineStr">
        <is>
          <t>סכום עמודה</t>
        </is>
      </c>
      <c r="D31" s="39" t="inlineStr">
        <is>
          <t>=SUM(E8:E11)</t>
        </is>
      </c>
      <c r="E31" s="38" t="inlineStr">
        <is>
          <t>תא בודד</t>
        </is>
      </c>
    </row>
    <row r="32" ht="18" customHeight="1">
      <c r="A32" s="38" t="inlineStr">
        <is>
          <t>11_PVM</t>
        </is>
      </c>
      <c r="B32" s="38" t="inlineStr">
        <is>
          <t>F12</t>
        </is>
      </c>
      <c r="C32" s="38" t="inlineStr">
        <is>
          <t>סכום עמודה</t>
        </is>
      </c>
      <c r="D32" s="39" t="inlineStr">
        <is>
          <t>=SUM(F8:F11)</t>
        </is>
      </c>
      <c r="E32" s="38" t="inlineStr">
        <is>
          <t>תא בודד</t>
        </is>
      </c>
    </row>
    <row r="33" ht="18" customHeight="1">
      <c r="A33" s="38" t="inlineStr">
        <is>
          <t>11_PVM</t>
        </is>
      </c>
      <c r="B33" s="38" t="inlineStr">
        <is>
          <t>H12</t>
        </is>
      </c>
      <c r="C33" s="38" t="inlineStr">
        <is>
          <t>סכום עמודה</t>
        </is>
      </c>
      <c r="D33" s="39" t="inlineStr">
        <is>
          <t>=SUM(H8:H11)</t>
        </is>
      </c>
      <c r="E33" s="38" t="inlineStr">
        <is>
          <t>תא בודד</t>
        </is>
      </c>
    </row>
    <row r="34" ht="18" customHeight="1">
      <c r="A34" s="38" t="inlineStr">
        <is>
          <t>11_PVM</t>
        </is>
      </c>
      <c r="B34" s="38" t="inlineStr">
        <is>
          <t>I12</t>
        </is>
      </c>
      <c r="C34" s="38" t="inlineStr">
        <is>
          <t>סכום עמודה</t>
        </is>
      </c>
      <c r="D34" s="39" t="inlineStr">
        <is>
          <t>=SUM(I8:I11)</t>
        </is>
      </c>
      <c r="E34" s="38" t="inlineStr">
        <is>
          <t>תא בודד</t>
        </is>
      </c>
    </row>
    <row r="35" ht="18" customHeight="1">
      <c r="A35" s="38" t="inlineStr">
        <is>
          <t>11_PVM</t>
        </is>
      </c>
      <c r="B35" s="38" t="inlineStr">
        <is>
          <t>J12</t>
        </is>
      </c>
      <c r="C35" s="38" t="inlineStr">
        <is>
          <t>סכום עמודה</t>
        </is>
      </c>
      <c r="D35" s="39" t="inlineStr">
        <is>
          <t>=SUM(J8:J11)</t>
        </is>
      </c>
      <c r="E35" s="38" t="inlineStr">
        <is>
          <t>תא בודד</t>
        </is>
      </c>
    </row>
    <row r="36" ht="18" customHeight="1">
      <c r="A36" s="38" t="inlineStr">
        <is>
          <t>11_PVM</t>
        </is>
      </c>
      <c r="B36" s="38" t="inlineStr">
        <is>
          <t>K12</t>
        </is>
      </c>
      <c r="C36" s="38" t="inlineStr">
        <is>
          <t>סכום עמודה</t>
        </is>
      </c>
      <c r="D36" s="39" t="inlineStr">
        <is>
          <t>=SUM(K8:K11)</t>
        </is>
      </c>
      <c r="E36" s="38" t="inlineStr">
        <is>
          <t>תא בודד</t>
        </is>
      </c>
    </row>
    <row r="37" ht="18" customHeight="1">
      <c r="A37" s="38" t="inlineStr">
        <is>
          <t>11_PVM</t>
        </is>
      </c>
      <c r="B37" s="38" t="inlineStr">
        <is>
          <t>L12</t>
        </is>
      </c>
      <c r="C37" s="38" t="inlineStr">
        <is>
          <t>סכום עמודה</t>
        </is>
      </c>
      <c r="D37" s="39" t="inlineStr">
        <is>
          <t>=SUM(L8:L11)</t>
        </is>
      </c>
      <c r="E37" s="38" t="inlineStr">
        <is>
          <t>תא בודד</t>
        </is>
      </c>
    </row>
    <row r="38" ht="18" customHeight="1">
      <c r="A38" s="38" t="inlineStr">
        <is>
          <t>11_PVM</t>
        </is>
      </c>
      <c r="B38" s="38" t="inlineStr">
        <is>
          <t>E8</t>
        </is>
      </c>
      <c r="C38" s="38" t="inlineStr">
        <is>
          <t>הכנסה מתוכננת</t>
        </is>
      </c>
      <c r="D38" s="39" t="inlineStr">
        <is>
          <t>=C8*D8</t>
        </is>
      </c>
      <c r="E38" s="38" t="inlineStr">
        <is>
          <t>למטה</t>
        </is>
      </c>
    </row>
    <row r="39" ht="18" customHeight="1">
      <c r="A39" s="38" t="inlineStr">
        <is>
          <t>11_PVM</t>
        </is>
      </c>
      <c r="B39" s="38" t="inlineStr">
        <is>
          <t>H8</t>
        </is>
      </c>
      <c r="C39" s="38" t="inlineStr">
        <is>
          <t>הכנסה בפועל</t>
        </is>
      </c>
      <c r="D39" s="39" t="inlineStr">
        <is>
          <t>=F8*G8</t>
        </is>
      </c>
      <c r="E39" s="38" t="inlineStr">
        <is>
          <t>למטה</t>
        </is>
      </c>
    </row>
    <row r="40" ht="18" customHeight="1">
      <c r="A40" s="38" t="inlineStr">
        <is>
          <t>11_PVM</t>
        </is>
      </c>
      <c r="B40" s="38" t="inlineStr">
        <is>
          <t>I8</t>
        </is>
      </c>
      <c r="C40" s="38" t="inlineStr">
        <is>
          <t>הסטייה הכוללת</t>
        </is>
      </c>
      <c r="D40" s="39" t="inlineStr">
        <is>
          <t>=H8-E8</t>
        </is>
      </c>
      <c r="E40" s="38" t="inlineStr">
        <is>
          <t>למטה</t>
        </is>
      </c>
    </row>
    <row r="41" ht="18" customHeight="1">
      <c r="A41" s="38" t="inlineStr">
        <is>
          <t>11_PVM</t>
        </is>
      </c>
      <c r="B41" s="38" t="inlineStr">
        <is>
          <t>J8</t>
        </is>
      </c>
      <c r="C41" s="38" t="inlineStr">
        <is>
          <t>פער מחיר: שינוי המחיר כפול הכמות בפועל</t>
        </is>
      </c>
      <c r="D41" s="39" t="inlineStr">
        <is>
          <t>=(G8-D8)*F8</t>
        </is>
      </c>
      <c r="E41" s="38" t="inlineStr">
        <is>
          <t>למטה</t>
        </is>
      </c>
    </row>
    <row r="42" ht="18" customHeight="1">
      <c r="A42" s="38" t="inlineStr">
        <is>
          <t>11_PVM</t>
        </is>
      </c>
      <c r="B42" s="38" t="inlineStr">
        <is>
          <t>K8</t>
        </is>
      </c>
      <c r="C42" s="38" t="inlineStr">
        <is>
          <t>פער כמות טהור: גידול בכמות הכוללת, בתמהיל ובמחירים שתוכננו</t>
        </is>
      </c>
      <c r="D42" s="39" t="inlineStr">
        <is>
          <t>=($F$12-$C$12)*(C8/$C$12)*D8</t>
        </is>
      </c>
      <c r="E42" s="38" t="inlineStr">
        <is>
          <t>למטה</t>
        </is>
      </c>
    </row>
    <row r="43" ht="18" customHeight="1">
      <c r="A43" s="38" t="inlineStr">
        <is>
          <t>11_PVM</t>
        </is>
      </c>
      <c r="B43" s="38" t="inlineStr">
        <is>
          <t>L8</t>
        </is>
      </c>
      <c r="C43" s="38" t="inlineStr">
        <is>
          <t>פער תמהיל: מכרנו יותר מהמוצר הזה על חשבון אחר, במחירי תקציב</t>
        </is>
      </c>
      <c r="D43" s="39" t="inlineStr">
        <is>
          <t>=(F8-$F$12*(C8/$C$12))*D8</t>
        </is>
      </c>
      <c r="E43" s="38" t="inlineStr">
        <is>
          <t>למטה</t>
        </is>
      </c>
    </row>
    <row r="44" ht="18" customHeight="1">
      <c r="A44" s="38" t="inlineStr">
        <is>
          <t>20_WORKCAP</t>
        </is>
      </c>
      <c r="B44" s="38" t="inlineStr">
        <is>
          <t>H8</t>
        </is>
      </c>
      <c r="C44" s="38" t="inlineStr">
        <is>
          <t>DSO, ימי גבייה מלקוחות</t>
        </is>
      </c>
      <c r="D44" s="39" t="inlineStr">
        <is>
          <t>=IFERROR(E8/C8*30,0)</t>
        </is>
      </c>
      <c r="E44" s="38" t="inlineStr">
        <is>
          <t>למטה</t>
        </is>
      </c>
    </row>
    <row r="45" ht="18" customHeight="1">
      <c r="A45" s="38" t="inlineStr">
        <is>
          <t>20_WORKCAP</t>
        </is>
      </c>
      <c r="B45" s="38" t="inlineStr">
        <is>
          <t>I8</t>
        </is>
      </c>
      <c r="C45" s="38" t="inlineStr">
        <is>
          <t>DPO, ימי אשראי ספקים</t>
        </is>
      </c>
      <c r="D45" s="39" t="inlineStr">
        <is>
          <t>=IFERROR(F8/D8*30,0)</t>
        </is>
      </c>
      <c r="E45" s="38" t="inlineStr">
        <is>
          <t>למטה</t>
        </is>
      </c>
    </row>
    <row r="46" ht="18" customHeight="1">
      <c r="A46" s="38" t="inlineStr">
        <is>
          <t>20_WORKCAP</t>
        </is>
      </c>
      <c r="B46" s="38" t="inlineStr">
        <is>
          <t>J8</t>
        </is>
      </c>
      <c r="C46" s="38" t="inlineStr">
        <is>
          <t>DIO, ימי מלאי</t>
        </is>
      </c>
      <c r="D46" s="39" t="inlineStr">
        <is>
          <t>=IFERROR(G8/D8*30,0)</t>
        </is>
      </c>
      <c r="E46" s="38" t="inlineStr">
        <is>
          <t>למטה</t>
        </is>
      </c>
    </row>
    <row r="47" ht="18" customHeight="1">
      <c r="A47" s="38" t="inlineStr">
        <is>
          <t>20_WORKCAP</t>
        </is>
      </c>
      <c r="B47" s="38" t="inlineStr">
        <is>
          <t>K8</t>
        </is>
      </c>
      <c r="C47" s="38" t="inlineStr">
        <is>
          <t>CCC, מחזור המזומן</t>
        </is>
      </c>
      <c r="D47" s="39" t="inlineStr">
        <is>
          <t>=H8+J8-I8</t>
        </is>
      </c>
      <c r="E47" s="38" t="inlineStr">
        <is>
          <t>למטה</t>
        </is>
      </c>
    </row>
    <row r="48" ht="18" customHeight="1">
      <c r="A48" s="38" t="inlineStr">
        <is>
          <t>20_WORKCAP</t>
        </is>
      </c>
      <c r="B48" s="38" t="inlineStr">
        <is>
          <t>B23</t>
        </is>
      </c>
      <c r="C48" s="38" t="inlineStr">
        <is>
          <t>ממוצע DSO שנתי, ימים</t>
        </is>
      </c>
      <c r="D48" s="39" t="inlineStr">
        <is>
          <t>=AVERAGE(H8:H19)</t>
        </is>
      </c>
      <c r="E48" s="38" t="inlineStr">
        <is>
          <t>תא בודד</t>
        </is>
      </c>
    </row>
    <row r="49" ht="18" customHeight="1">
      <c r="A49" s="38" t="inlineStr">
        <is>
          <t>20_WORKCAP</t>
        </is>
      </c>
      <c r="B49" s="38" t="inlineStr">
        <is>
          <t>B24</t>
        </is>
      </c>
      <c r="C49" s="38" t="inlineStr">
        <is>
          <t>ממוצע CCC שנתי, ימים</t>
        </is>
      </c>
      <c r="D49" s="39" t="inlineStr">
        <is>
          <t>=AVERAGE(K8:K19)</t>
        </is>
      </c>
      <c r="E49" s="38" t="inlineStr">
        <is>
          <t>תא בודד</t>
        </is>
      </c>
    </row>
    <row r="50" ht="18" customHeight="1">
      <c r="A50" s="38" t="inlineStr">
        <is>
          <t>20_WORKCAP</t>
        </is>
      </c>
      <c r="B50" s="38" t="inlineStr">
        <is>
          <t>B25</t>
        </is>
      </c>
      <c r="C50" s="38" t="inlineStr">
        <is>
          <t>מחזור יומי ממוצע</t>
        </is>
      </c>
      <c r="D50" s="39" t="inlineStr">
        <is>
          <t>=SUM(C8:C19)/365</t>
        </is>
      </c>
      <c r="E50" s="38" t="inlineStr">
        <is>
          <t>תא בודד</t>
        </is>
      </c>
    </row>
    <row r="51" ht="18" customHeight="1">
      <c r="A51" s="38" t="inlineStr">
        <is>
          <t>20_WORKCAP</t>
        </is>
      </c>
      <c r="B51" s="38" t="inlineStr">
        <is>
          <t>B26</t>
        </is>
      </c>
      <c r="C51" s="38" t="inlineStr">
        <is>
          <t>שווי קיצור יום גבייה אחד</t>
        </is>
      </c>
      <c r="D51" s="39" t="inlineStr">
        <is>
          <t>=B25</t>
        </is>
      </c>
      <c r="E51" s="38" t="inlineStr">
        <is>
          <t>תא בודד</t>
        </is>
      </c>
    </row>
    <row r="52" ht="18" customHeight="1">
      <c r="A52" s="38" t="inlineStr">
        <is>
          <t>20_WORKCAP</t>
        </is>
      </c>
      <c r="B52" s="38" t="inlineStr">
        <is>
          <t>B28</t>
        </is>
      </c>
      <c r="C52" s="38" t="inlineStr">
        <is>
          <t>מזומן שישתחרר מיד</t>
        </is>
      </c>
      <c r="D52" s="39" t="inlineStr">
        <is>
          <t>=B25*B27</t>
        </is>
      </c>
      <c r="E52" s="38" t="inlineStr">
        <is>
          <t>תא בודד</t>
        </is>
      </c>
    </row>
    <row r="53" ht="18" customHeight="1">
      <c r="A53" s="38" t="inlineStr">
        <is>
          <t>20_WORKCAP</t>
        </is>
      </c>
      <c r="B53" s="38" t="inlineStr">
        <is>
          <t>B29</t>
        </is>
      </c>
      <c r="C53" s="38" t="inlineStr">
        <is>
          <t>חיסכון ריבית שנתי בריבית 8%</t>
        </is>
      </c>
      <c r="D53" s="39" t="inlineStr">
        <is>
          <t>=B28*8%</t>
        </is>
      </c>
      <c r="E53" s="38" t="inlineStr">
        <is>
          <t>תא בודד</t>
        </is>
      </c>
    </row>
    <row r="54" ht="26" customHeight="1">
      <c r="A54" s="38" t="inlineStr">
        <is>
          <t>30_CASH13</t>
        </is>
      </c>
      <c r="B54" s="38" t="inlineStr">
        <is>
          <t>D29</t>
        </is>
      </c>
      <c r="C54" s="38" t="inlineStr">
        <is>
          <t>סה"כ תקבולים בשבוע, כולל מתג התרחיש ומסנן הוודאות</t>
        </is>
      </c>
      <c r="D54" s="39" t="inlineStr">
        <is>
          <t>=SUMPRODUCT((D$10:D$27&gt;0)*D$10:D$27*IF($B$4="DOWN",($C$10:$C$27&gt;=4)*1,1))*IF($B$4="UP",1.1,IF($B$4="DOWN",0.85,1))</t>
        </is>
      </c>
      <c r="E54" s="38" t="inlineStr">
        <is>
          <t>ימינה</t>
        </is>
      </c>
    </row>
    <row r="55" ht="18" customHeight="1">
      <c r="A55" s="38" t="inlineStr">
        <is>
          <t>30_CASH13</t>
        </is>
      </c>
      <c r="B55" s="38" t="inlineStr">
        <is>
          <t>D30</t>
        </is>
      </c>
      <c r="C55" s="38" t="inlineStr">
        <is>
          <t>סה"כ תשלומים בשבוע. תשלומי מס ושכר משולמים בכל תרחיש</t>
        </is>
      </c>
      <c r="D55" s="39" t="inlineStr">
        <is>
          <t>=SUMPRODUCT((D$10:D$27&lt;0)*D$10:D$27)</t>
        </is>
      </c>
      <c r="E55" s="38" t="inlineStr">
        <is>
          <t>ימינה</t>
        </is>
      </c>
    </row>
    <row r="56" ht="18" customHeight="1">
      <c r="A56" s="38" t="inlineStr">
        <is>
          <t>30_CASH13</t>
        </is>
      </c>
      <c r="B56" s="38" t="inlineStr">
        <is>
          <t>D31</t>
        </is>
      </c>
      <c r="C56" s="38" t="inlineStr">
        <is>
          <t>תזרים נטו</t>
        </is>
      </c>
      <c r="D56" s="39" t="inlineStr">
        <is>
          <t>=D29+D30</t>
        </is>
      </c>
      <c r="E56" s="38" t="inlineStr">
        <is>
          <t>ימינה</t>
        </is>
      </c>
    </row>
    <row r="57" ht="18" customHeight="1">
      <c r="A57" s="38" t="inlineStr">
        <is>
          <t>30_CASH13</t>
        </is>
      </c>
      <c r="B57" s="38" t="inlineStr">
        <is>
          <t>D32</t>
        </is>
      </c>
      <c r="C57" s="38" t="inlineStr">
        <is>
          <t>יתרת פתיחה: בשבוע הראשון מהתא B5, אחר כך הסגירה של השבוע הקודם</t>
        </is>
      </c>
      <c r="D57" s="39" t="inlineStr">
        <is>
          <t>=IF(COLUMN()=4,$B$5,C33)</t>
        </is>
      </c>
      <c r="E57" s="38" t="inlineStr">
        <is>
          <t>ימינה</t>
        </is>
      </c>
    </row>
    <row r="58" ht="18" customHeight="1">
      <c r="A58" s="38" t="inlineStr">
        <is>
          <t>30_CASH13</t>
        </is>
      </c>
      <c r="B58" s="38" t="inlineStr">
        <is>
          <t>D33</t>
        </is>
      </c>
      <c r="C58" s="38" t="inlineStr">
        <is>
          <t>יתרת סגירה</t>
        </is>
      </c>
      <c r="D58" s="39" t="inlineStr">
        <is>
          <t>=D32+D31</t>
        </is>
      </c>
      <c r="E58" s="38" t="inlineStr">
        <is>
          <t>ימינה</t>
        </is>
      </c>
    </row>
    <row r="59" ht="18" customHeight="1">
      <c r="A59" s="38" t="inlineStr">
        <is>
          <t>30_CASH13</t>
        </is>
      </c>
      <c r="B59" s="38" t="inlineStr">
        <is>
          <t>D34</t>
        </is>
      </c>
      <c r="C59" s="38" t="inlineStr">
        <is>
          <t>ניצול מסגרת</t>
        </is>
      </c>
      <c r="D59" s="39" t="inlineStr">
        <is>
          <t>=MAX(0,-D33)</t>
        </is>
      </c>
      <c r="E59" s="38" t="inlineStr">
        <is>
          <t>ימינה</t>
        </is>
      </c>
    </row>
    <row r="60" ht="18" customHeight="1">
      <c r="A60" s="38" t="inlineStr">
        <is>
          <t>30_CASH13</t>
        </is>
      </c>
      <c r="B60" s="38" t="inlineStr">
        <is>
          <t>D35</t>
        </is>
      </c>
      <c r="C60" s="38" t="inlineStr">
        <is>
          <t>סטטוס רמזור</t>
        </is>
      </c>
      <c r="D60" s="39" t="inlineStr">
        <is>
          <t>=IF(D33&gt;=0,"OK",IF(D34&lt;=$B$6,"LINE","BREACH"))</t>
        </is>
      </c>
      <c r="E60" s="38" t="inlineStr">
        <is>
          <t>ימינה</t>
        </is>
      </c>
    </row>
    <row r="61" ht="18" customHeight="1">
      <c r="A61" s="38" t="inlineStr">
        <is>
          <t>30_CASH13</t>
        </is>
      </c>
      <c r="B61" s="38" t="inlineStr">
        <is>
          <t>Q29</t>
        </is>
      </c>
      <c r="C61" s="38" t="inlineStr">
        <is>
          <t>סה"כ תקבולים לרבעון</t>
        </is>
      </c>
      <c r="D61" s="39" t="inlineStr">
        <is>
          <t>=SUM(D29:P29)</t>
        </is>
      </c>
      <c r="E61" s="38" t="inlineStr">
        <is>
          <t>תא בודד</t>
        </is>
      </c>
    </row>
    <row r="62" ht="18" customHeight="1">
      <c r="A62" s="38" t="inlineStr">
        <is>
          <t>30_CASH13</t>
        </is>
      </c>
      <c r="B62" s="38" t="inlineStr">
        <is>
          <t>Q30</t>
        </is>
      </c>
      <c r="C62" s="38" t="inlineStr">
        <is>
          <t>סה"כ תשלומים לרבעון</t>
        </is>
      </c>
      <c r="D62" s="39" t="inlineStr">
        <is>
          <t>=SUM(D30:P30)</t>
        </is>
      </c>
      <c r="E62" s="38" t="inlineStr">
        <is>
          <t>תא בודד</t>
        </is>
      </c>
    </row>
    <row r="63" ht="18" customHeight="1">
      <c r="A63" s="38" t="inlineStr">
        <is>
          <t>30_CASH13</t>
        </is>
      </c>
      <c r="B63" s="38" t="inlineStr">
        <is>
          <t>Q31</t>
        </is>
      </c>
      <c r="C63" s="38" t="inlineStr">
        <is>
          <t>תזרים נטו לרבעון</t>
        </is>
      </c>
      <c r="D63" s="39" t="inlineStr">
        <is>
          <t>=SUM(D31:P31)</t>
        </is>
      </c>
      <c r="E63" s="38" t="inlineStr">
        <is>
          <t>תא בודד</t>
        </is>
      </c>
    </row>
    <row r="64" ht="18" customHeight="1">
      <c r="A64" s="38" t="inlineStr">
        <is>
          <t>30_CASH13</t>
        </is>
      </c>
      <c r="B64" s="38" t="inlineStr">
        <is>
          <t>Q32</t>
        </is>
      </c>
      <c r="C64" s="38" t="inlineStr">
        <is>
          <t>יתרת פתיחה לתקופה</t>
        </is>
      </c>
      <c r="D64" s="39" t="inlineStr">
        <is>
          <t>=D32</t>
        </is>
      </c>
      <c r="E64" s="38" t="inlineStr">
        <is>
          <t>תא בודד</t>
        </is>
      </c>
    </row>
    <row r="65" ht="18" customHeight="1">
      <c r="A65" s="38" t="inlineStr">
        <is>
          <t>30_CASH13</t>
        </is>
      </c>
      <c r="B65" s="38" t="inlineStr">
        <is>
          <t>Q33</t>
        </is>
      </c>
      <c r="C65" s="38" t="inlineStr">
        <is>
          <t>יתרת סגירה בסוף הרבעון</t>
        </is>
      </c>
      <c r="D65" s="39" t="inlineStr">
        <is>
          <t>=P33</t>
        </is>
      </c>
      <c r="E65" s="38" t="inlineStr">
        <is>
          <t>תא בודד</t>
        </is>
      </c>
    </row>
    <row r="66" ht="18" customHeight="1">
      <c r="A66" s="38" t="inlineStr">
        <is>
          <t>30_CASH13</t>
        </is>
      </c>
      <c r="B66" s="38" t="inlineStr">
        <is>
          <t>Q34</t>
        </is>
      </c>
      <c r="C66" s="38" t="inlineStr">
        <is>
          <t>ניצול המסגרת המרבי, השבוע הגרוע</t>
        </is>
      </c>
      <c r="D66" s="39" t="inlineStr">
        <is>
          <t>=MAX(D34:P34)</t>
        </is>
      </c>
      <c r="E66" s="38" t="inlineStr">
        <is>
          <t>תא בודד</t>
        </is>
      </c>
    </row>
    <row r="67" ht="18" customHeight="1">
      <c r="A67" s="38" t="inlineStr">
        <is>
          <t>30_CASH13</t>
        </is>
      </c>
      <c r="B67" s="38" t="inlineStr">
        <is>
          <t>Q35</t>
        </is>
      </c>
      <c r="C67" s="38" t="inlineStr">
        <is>
          <t>סטטוס הרבעון כולו</t>
        </is>
      </c>
      <c r="D67" s="39" t="inlineStr">
        <is>
          <t>=IF(COUNTIF(D35:P35,"BREACH")&gt;0,"BREACH",IF(COUNTIF(D35:P35,"LINE")&gt;0,"LINE","OK"))</t>
        </is>
      </c>
      <c r="E67" s="38" t="inlineStr">
        <is>
          <t>תא בודד</t>
        </is>
      </c>
    </row>
    <row r="68" ht="18" customHeight="1">
      <c r="A68" s="38" t="inlineStr">
        <is>
          <t>40_ROLLING</t>
        </is>
      </c>
      <c r="B68" s="38" t="inlineStr">
        <is>
          <t>B9</t>
        </is>
      </c>
      <c r="C68" s="38" t="inlineStr">
        <is>
          <t>תקציב מקורי: סך ההכנסות המתוקצבות לאותו חודש</t>
        </is>
      </c>
      <c r="D68" s="39" t="inlineStr">
        <is>
          <t>=SUMIFS(BUDGET[Budget],BUDGET[Grp],"REVENUE",BUDGET[Month],COLUMN()-1)</t>
        </is>
      </c>
      <c r="E68" s="38" t="inlineStr">
        <is>
          <t>ימינה</t>
        </is>
      </c>
    </row>
    <row r="69" ht="18" customHeight="1">
      <c r="A69" s="38" t="inlineStr">
        <is>
          <t>40_ROLLING</t>
        </is>
      </c>
      <c r="B69" s="38" t="inlineStr">
        <is>
          <t>B10</t>
        </is>
      </c>
      <c r="C69" s="38" t="inlineStr">
        <is>
          <t>ביצוע בפועל, מוצג רק לחודשים שנסגרו</t>
        </is>
      </c>
      <c r="D69" s="39" t="inlineStr">
        <is>
          <t>=IF(COLUMN()-1&lt;=$D$4,SUMIFS(GL[Amount],GL[Grp],"REVENUE",GL[Month],COLUMN()-1),"")</t>
        </is>
      </c>
      <c r="E69" s="38" t="inlineStr">
        <is>
          <t>ימינה</t>
        </is>
      </c>
    </row>
    <row r="70" ht="18" customHeight="1">
      <c r="A70" s="38" t="inlineStr">
        <is>
          <t>40_ROLLING</t>
        </is>
      </c>
      <c r="B70" s="38" t="inlineStr">
        <is>
          <t>B11</t>
        </is>
      </c>
      <c r="C70" s="38" t="inlineStr">
        <is>
          <t>התחזית המתגלגלת: אקטואל לחודשים סגורים, תקציב מתוקן להמשך</t>
        </is>
      </c>
      <c r="D70" s="39" t="inlineStr">
        <is>
          <t>=IF(COLUMN()-1&lt;=$D$4,B10,B9*$D$5)</t>
        </is>
      </c>
      <c r="E70" s="38" t="inlineStr">
        <is>
          <t>ימינה</t>
        </is>
      </c>
    </row>
    <row r="71" ht="18" customHeight="1">
      <c r="A71" s="38" t="inlineStr">
        <is>
          <t>40_ROLLING</t>
        </is>
      </c>
      <c r="B71" s="38" t="inlineStr">
        <is>
          <t>B12</t>
        </is>
      </c>
      <c r="C71" s="38" t="inlineStr">
        <is>
          <t>פער התחזית מול קו הבסיס הנעול</t>
        </is>
      </c>
      <c r="D71" s="39" t="inlineStr">
        <is>
          <t>=B11-B9</t>
        </is>
      </c>
      <c r="E71" s="38" t="inlineStr">
        <is>
          <t>ימינה</t>
        </is>
      </c>
    </row>
    <row r="72" ht="18" customHeight="1">
      <c r="A72" s="38" t="inlineStr">
        <is>
          <t>40_ROLLING</t>
        </is>
      </c>
      <c r="B72" s="38" t="inlineStr">
        <is>
          <t>B13</t>
        </is>
      </c>
      <c r="C72" s="38" t="inlineStr">
        <is>
          <t>אותו פער באחוזים</t>
        </is>
      </c>
      <c r="D72" s="39" t="inlineStr">
        <is>
          <t>=IFERROR(B12/B9,0)</t>
        </is>
      </c>
      <c r="E72" s="38" t="inlineStr">
        <is>
          <t>ימינה</t>
        </is>
      </c>
    </row>
    <row r="73" ht="18" customHeight="1">
      <c r="A73" s="38" t="inlineStr">
        <is>
          <t>40_ROLLING</t>
        </is>
      </c>
      <c r="B73" s="38" t="inlineStr">
        <is>
          <t>N9</t>
        </is>
      </c>
      <c r="C73" s="38" t="inlineStr">
        <is>
          <t>קו בסיס שנתי</t>
        </is>
      </c>
      <c r="D73" s="39" t="inlineStr">
        <is>
          <t>=SUM(B9:M9)</t>
        </is>
      </c>
      <c r="E73" s="38" t="inlineStr">
        <is>
          <t>תא בודד</t>
        </is>
      </c>
    </row>
    <row r="74" ht="18" customHeight="1">
      <c r="A74" s="38" t="inlineStr">
        <is>
          <t>40_ROLLING</t>
        </is>
      </c>
      <c r="B74" s="38" t="inlineStr">
        <is>
          <t>N10</t>
        </is>
      </c>
      <c r="C74" s="38" t="inlineStr">
        <is>
          <t>ביצוע מצטבר מתחילת השנה</t>
        </is>
      </c>
      <c r="D74" s="39" t="inlineStr">
        <is>
          <t>=SUM(B10:M10)</t>
        </is>
      </c>
      <c r="E74" s="38" t="inlineStr">
        <is>
          <t>תא בודד</t>
        </is>
      </c>
    </row>
    <row r="75" ht="18" customHeight="1">
      <c r="A75" s="38" t="inlineStr">
        <is>
          <t>40_ROLLING</t>
        </is>
      </c>
      <c r="B75" s="38" t="inlineStr">
        <is>
          <t>N11</t>
        </is>
      </c>
      <c r="C75" s="38" t="inlineStr">
        <is>
          <t>התחזית השנתית המעודכנת</t>
        </is>
      </c>
      <c r="D75" s="39" t="inlineStr">
        <is>
          <t>=SUM(B11:M11)</t>
        </is>
      </c>
      <c r="E75" s="38" t="inlineStr">
        <is>
          <t>תא בודד</t>
        </is>
      </c>
    </row>
    <row r="76" ht="18" customHeight="1">
      <c r="A76" s="38" t="inlineStr">
        <is>
          <t>40_ROLLING</t>
        </is>
      </c>
      <c r="B76" s="38" t="inlineStr">
        <is>
          <t>N12</t>
        </is>
      </c>
      <c r="C76" s="38" t="inlineStr">
        <is>
          <t>פער שנתי בשקלים</t>
        </is>
      </c>
      <c r="D76" s="39" t="inlineStr">
        <is>
          <t>=N11-N9</t>
        </is>
      </c>
      <c r="E76" s="38" t="inlineStr">
        <is>
          <t>תא בודד</t>
        </is>
      </c>
    </row>
    <row r="77" ht="18" customHeight="1">
      <c r="A77" s="38" t="inlineStr">
        <is>
          <t>40_ROLLING</t>
        </is>
      </c>
      <c r="B77" s="38" t="inlineStr">
        <is>
          <t>N13</t>
        </is>
      </c>
      <c r="C77" s="38" t="inlineStr">
        <is>
          <t>פער שנתי באחוזים</t>
        </is>
      </c>
      <c r="D77" s="39" t="inlineStr">
        <is>
          <t>=IFERROR(N12/N9,0)</t>
        </is>
      </c>
      <c r="E77" s="38" t="inlineStr">
        <is>
          <t>תא בודד</t>
        </is>
      </c>
    </row>
    <row r="78" ht="18" customHeight="1">
      <c r="A78" s="38" t="inlineStr">
        <is>
          <t>40_ROLLING</t>
        </is>
      </c>
      <c r="B78" s="38" t="inlineStr">
        <is>
          <t>C17</t>
        </is>
      </c>
      <c r="C78" s="38" t="inlineStr">
        <is>
          <t>תחזית שנתית מעודכנת</t>
        </is>
      </c>
      <c r="D78" s="39" t="inlineStr">
        <is>
          <t>=N11</t>
        </is>
      </c>
      <c r="E78" s="38" t="inlineStr">
        <is>
          <t>תא בודד</t>
        </is>
      </c>
    </row>
    <row r="79" ht="18" customHeight="1">
      <c r="A79" s="38" t="inlineStr">
        <is>
          <t>40_ROLLING</t>
        </is>
      </c>
      <c r="B79" s="38" t="inlineStr">
        <is>
          <t>C18</t>
        </is>
      </c>
      <c r="C79" s="38" t="inlineStr">
        <is>
          <t>קו בסיס שנתי מקורי</t>
        </is>
      </c>
      <c r="D79" s="39" t="inlineStr">
        <is>
          <t>=N9</t>
        </is>
      </c>
      <c r="E79" s="38" t="inlineStr">
        <is>
          <t>תא בודד</t>
        </is>
      </c>
    </row>
    <row r="80" ht="18" customHeight="1">
      <c r="A80" s="38" t="inlineStr">
        <is>
          <t>40_ROLLING</t>
        </is>
      </c>
      <c r="B80" s="38" t="inlineStr">
        <is>
          <t>C19</t>
        </is>
      </c>
      <c r="C80" s="38" t="inlineStr">
        <is>
          <t>פער שנתי צפוי</t>
        </is>
      </c>
      <c r="D80" s="39" t="inlineStr">
        <is>
          <t>=N11-N9</t>
        </is>
      </c>
      <c r="E80" s="38" t="inlineStr">
        <is>
          <t>תא בודד</t>
        </is>
      </c>
    </row>
    <row r="81" ht="18" customHeight="1">
      <c r="A81" s="38" t="inlineStr">
        <is>
          <t>40_ROLLING</t>
        </is>
      </c>
      <c r="B81" s="38" t="inlineStr">
        <is>
          <t>C20</t>
        </is>
      </c>
      <c r="C81" s="38" t="inlineStr">
        <is>
          <t>האם צפויה עמידה ביעד</t>
        </is>
      </c>
      <c r="D81" s="39" t="inlineStr">
        <is>
          <t>=IF(N11&gt;=N9,"ON_TRACK","ACTION_NEEDED")</t>
        </is>
      </c>
      <c r="E81" s="38" t="inlineStr">
        <is>
          <t>תא בודד</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2026-07-29T10:25:59Z</dcterms:created>
  <dcterms:modified xmlns:dcterms="http://purl.org/dc/terms/" xmlns:xsi="http://www.w3.org/2001/XMLSchema-instance" xsi:type="dcterms:W3CDTF">2026-07-29T10:30:36Z</dcterms:modified>
</cp:coreProperties>
</file>